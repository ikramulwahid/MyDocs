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ram\Desktop\"/>
    </mc:Choice>
  </mc:AlternateContent>
  <xr:revisionPtr revIDLastSave="0" documentId="8_{598CD5F5-520B-45FD-A8F8-7F9506042B6D}" xr6:coauthVersionLast="47" xr6:coauthVersionMax="47" xr10:uidLastSave="{00000000-0000-0000-0000-000000000000}"/>
  <bookViews>
    <workbookView xWindow="-120" yWindow="-120" windowWidth="29040" windowHeight="15720" xr2:uid="{887B3828-74A7-4017-B9EE-6EE11EEC027F}"/>
  </bookViews>
  <sheets>
    <sheet name="Jul" sheetId="1" r:id="rId1"/>
  </sheets>
  <definedNames>
    <definedName name="_xlnm.Print_Area" localSheetId="0">Jul!$A$1:$N$55</definedName>
    <definedName name="_xlnm.Print_Titles" localSheetId="0">Jul!$5:$5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5" i="1" l="1" a="1"/>
  <c r="N55" i="1" s="1"/>
  <c r="L55" i="1"/>
  <c r="K55" i="1"/>
  <c r="F55" i="1"/>
  <c r="D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N54" i="1" a="1"/>
  <c r="N54" i="1" s="1"/>
  <c r="N53" i="1" a="1"/>
  <c r="N53" i="1" s="1"/>
  <c r="N52" i="1" a="1"/>
  <c r="N52" i="1" s="1"/>
  <c r="N51" i="1" a="1"/>
  <c r="N51" i="1" s="1"/>
  <c r="N50" i="1" a="1"/>
  <c r="N50" i="1" s="1"/>
  <c r="N49" i="1" a="1"/>
  <c r="N49" i="1" s="1"/>
  <c r="N48" i="1" a="1"/>
  <c r="N48" i="1" s="1"/>
  <c r="N47" i="1" a="1"/>
  <c r="N47" i="1" s="1"/>
  <c r="N46" i="1" a="1"/>
  <c r="N46" i="1" s="1"/>
  <c r="N45" i="1" a="1"/>
  <c r="N45" i="1" s="1"/>
  <c r="N44" i="1" a="1"/>
  <c r="N44" i="1" s="1"/>
  <c r="N43" i="1" a="1"/>
  <c r="N43" i="1" s="1"/>
  <c r="N42" i="1" a="1"/>
  <c r="N42" i="1" s="1"/>
  <c r="N41" i="1" a="1"/>
  <c r="N41" i="1" s="1"/>
  <c r="N40" i="1" a="1"/>
  <c r="N40" i="1" s="1"/>
  <c r="N39" i="1" a="1"/>
  <c r="N39" i="1" s="1"/>
  <c r="N38" i="1" a="1"/>
  <c r="N38" i="1" s="1"/>
  <c r="N37" i="1" a="1"/>
  <c r="N37" i="1" s="1"/>
  <c r="N36" i="1" a="1"/>
  <c r="N36" i="1" s="1"/>
  <c r="N35" i="1" a="1"/>
  <c r="N35" i="1" s="1"/>
  <c r="N34" i="1" a="1"/>
  <c r="N34" i="1" s="1"/>
  <c r="N33" i="1" a="1"/>
  <c r="N33" i="1" s="1"/>
  <c r="N32" i="1" a="1"/>
  <c r="N32" i="1" s="1"/>
  <c r="N31" i="1" a="1"/>
  <c r="N31" i="1" s="1"/>
  <c r="N30" i="1" a="1"/>
  <c r="N30" i="1" s="1"/>
  <c r="N29" i="1" a="1"/>
  <c r="N29" i="1" s="1"/>
  <c r="N28" i="1" a="1"/>
  <c r="N28" i="1" s="1"/>
  <c r="N27" i="1" a="1"/>
  <c r="N27" i="1" s="1"/>
  <c r="N26" i="1" a="1"/>
  <c r="N26" i="1" s="1"/>
  <c r="N25" i="1" a="1"/>
  <c r="N25" i="1" s="1"/>
  <c r="N24" i="1" a="1"/>
  <c r="N24" i="1" s="1"/>
  <c r="N23" i="1" a="1"/>
  <c r="N23" i="1" s="1"/>
  <c r="N22" i="1" a="1"/>
  <c r="N22" i="1" s="1"/>
  <c r="N21" i="1" a="1"/>
  <c r="N21" i="1" s="1"/>
  <c r="N20" i="1" a="1"/>
  <c r="N20" i="1" s="1"/>
  <c r="N19" i="1" a="1"/>
  <c r="N19" i="1" s="1"/>
  <c r="N18" i="1" a="1"/>
  <c r="N18" i="1" s="1"/>
  <c r="N17" i="1" a="1"/>
  <c r="N17" i="1" s="1"/>
  <c r="N16" i="1" a="1"/>
  <c r="N16" i="1" s="1"/>
  <c r="N15" i="1" a="1"/>
  <c r="N15" i="1" s="1"/>
  <c r="N14" i="1" a="1"/>
  <c r="N14" i="1" s="1"/>
  <c r="N13" i="1" a="1"/>
  <c r="N13" i="1" s="1"/>
  <c r="N12" i="1" a="1"/>
  <c r="N12" i="1" s="1"/>
  <c r="N11" i="1" a="1"/>
  <c r="N11" i="1" s="1"/>
  <c r="N10" i="1" a="1"/>
  <c r="N10" i="1" s="1"/>
  <c r="N9" i="1" a="1"/>
  <c r="N9" i="1" s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A3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<sst xmlns="http://schemas.openxmlformats.org/spreadsheetml/2006/main" count="40" uniqueCount="25">
  <si>
    <t>SMJ Sustainable Fuel Lab Pvt. Ltd.</t>
  </si>
  <si>
    <t>Sample Type</t>
  </si>
  <si>
    <t>Client Name</t>
  </si>
  <si>
    <t>Sample Quantity</t>
  </si>
  <si>
    <t>Test Parameters</t>
  </si>
  <si>
    <t>Sample Location</t>
  </si>
  <si>
    <t>Sampling Date</t>
  </si>
  <si>
    <t>Sampled By</t>
  </si>
  <si>
    <t>Registerd By</t>
  </si>
  <si>
    <t>Sample Received Date/Time (COC)</t>
  </si>
  <si>
    <t>Remark</t>
  </si>
  <si>
    <t>NABL Code</t>
  </si>
  <si>
    <t>Sr.
No.</t>
  </si>
  <si>
    <t>Reference No.</t>
  </si>
  <si>
    <t>Biofuel</t>
  </si>
  <si>
    <t>Akshay Sansaadhan Pvt. Ltd.</t>
  </si>
  <si>
    <t>1 kg</t>
  </si>
  <si>
    <t xml:space="preserve">Majiwada, Thane </t>
  </si>
  <si>
    <t xml:space="preserve">Biomass Briquettes (Filtered) </t>
  </si>
  <si>
    <t xml:space="preserve">Submitted by Client </t>
  </si>
  <si>
    <t>Zameer Sheik</t>
  </si>
  <si>
    <t xml:space="preserve">Biomass Briquettes (Non-filtered) </t>
  </si>
  <si>
    <t>NA</t>
  </si>
  <si>
    <t>Moisture, Ash, GCV</t>
  </si>
  <si>
    <t>Biomass Briquettes (Powder)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</si>
</sst>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hh:mm\ AM/PM;@"/>
    <numFmt numFmtId="165" formatCode="&quot; &quot;@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vertical="top"/>
    </xf>
    <xf numFmtId="0" fontId="6" fillId="0" borderId="0" xfId="0" applyFont="1"/>
    <xf numFmtId="0" fontId="3" fillId="0" borderId="1" xfId="0" applyNumberFormat="1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O$1" lockText="1" noThreeD="1"/>
</file>

<file path=xl/ctrlProps/ctrlProp2.xml><?xml version="1.0" encoding="utf-8"?>
<formControlPr xmlns="http://schemas.microsoft.com/office/spreadsheetml/2009/9/main" objectType="CheckBox" fmlaLink="$P$1" lockText="1" noThreeD="1"/>
</file>

<file path=xl/ctrlProps/ctrlProp3.xml><?xml version="1.0" encoding="utf-8"?>
<formControlPr xmlns="http://schemas.microsoft.com/office/spreadsheetml/2009/9/main" objectType="CheckBox" fmlaLink="$Q$1" lockText="1" noThreeD="1"/>
</file>

<file path=xl/ctrlProps/ctrlProp4.xml><?xml version="1.0" encoding="utf-8"?>
<formControlPr xmlns="http://schemas.microsoft.com/office/spreadsheetml/2009/9/main" objectType="CheckBox" fmlaLink="$R$1" lockText="1" noThreeD="1"/>
</file>

<file path=xl/ctrlProps/ctrlProp5.xml><?xml version="1.0" encoding="utf-8"?>
<formControlPr xmlns="http://schemas.microsoft.com/office/spreadsheetml/2009/9/main" objectType="CheckBox" fmlaLink="$S$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4762</xdr:rowOff>
        </xdr:from>
        <xdr:to>
          <xdr:col>19</xdr:col>
          <xdr:colOff>517725</xdr:colOff>
          <xdr:row>1</xdr:row>
          <xdr:rowOff>42862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3C8C691A-C41E-A613-F1D8-05CD1EBE84CA}"/>
                </a:ext>
              </a:extLst>
            </xdr:cNvPr>
            <xdr:cNvGrpSpPr/>
          </xdr:nvGrpSpPr>
          <xdr:grpSpPr>
            <a:xfrm>
              <a:off x="14077950" y="4762"/>
              <a:ext cx="3537150" cy="209550"/>
              <a:chOff x="14239875" y="1119187"/>
              <a:chExt cx="3537150" cy="209550"/>
            </a:xfrm>
          </xdr:grpSpPr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14239875" y="1119187"/>
                <a:ext cx="630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Moisture</a:t>
                </a:r>
              </a:p>
            </xdr:txBody>
          </xdr:sp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14863162" y="1119187"/>
                <a:ext cx="792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Ash Content</a:t>
                </a:r>
              </a:p>
            </xdr:txBody>
          </xdr:sp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15648449" y="1119187"/>
                <a:ext cx="900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Volatile Matter</a:t>
                </a:r>
              </a:p>
            </xdr:txBody>
          </xdr:sp>
          <xdr:sp macro="" textlink="">
            <xdr:nvSpPr>
              <xdr:cNvPr id="1033" name="Check Box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16541736" y="1119187"/>
                <a:ext cx="810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Fixed Carbon</a:t>
                </a:r>
              </a:p>
            </xdr:txBody>
          </xdr:sp>
          <xdr:sp macro="" textlink="">
            <xdr:nvSpPr>
              <xdr:cNvPr id="1034" name="Check Box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17345025" y="1119187"/>
                <a:ext cx="432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GCV</a:t>
                </a:r>
              </a:p>
            </xdr:txBody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A19C-6E7F-4D8A-98FE-FDE2AA2708D0}">
  <sheetPr>
    <pageSetUpPr fitToPage="1"/>
  </sheetPr>
  <dimension ref="A1:S55"/>
  <sheetViews>
    <sheetView showGridLines="0" tabSelected="1" zoomScaleNormal="100" zoomScaleSheetLayoutView="100" workbookViewId="0">
      <pane ySplit="2" topLeftCell="A3" activePane="bottomLeft" state="frozen"/>
      <selection pane="bottomLeft" sqref="A1:N2"/>
    </sheetView>
  </sheetViews>
  <sheetFormatPr defaultRowHeight="13.5" x14ac:dyDescent="0.25"/>
  <cols>
    <col min="1" max="1" width="6.7109375" style="2" customWidth="1"/>
    <col min="2" max="2" width="8.7109375" style="2" customWidth="1"/>
    <col min="3" max="3" width="25.7109375" style="2" customWidth="1"/>
    <col min="4" max="4" width="14.7109375" style="2" customWidth="1"/>
    <col min="5" max="5" width="9.140625" style="2"/>
    <col min="6" max="6" width="35.7109375" style="2" customWidth="1"/>
    <col min="7" max="7" width="18.7109375" style="2" customWidth="1"/>
    <col min="8" max="8" width="9.140625" style="2"/>
    <col min="9" max="10" width="15.7109375" style="2" customWidth="1"/>
    <col min="11" max="11" width="9.140625" style="2" customWidth="1"/>
    <col min="12" max="12" width="9.140625" style="2"/>
    <col min="13" max="13" width="15.7109375" style="2" customWidth="1"/>
    <col min="14" max="14" width="16.7109375" style="2" customWidth="1"/>
    <col min="15" max="16384" width="9.140625" style="1"/>
  </cols>
  <sheetData>
    <row r="1" spans="1:19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9" t="b">
        <v>1</v>
      </c>
      <c r="P1" s="9" t="b">
        <v>0</v>
      </c>
      <c r="Q1" s="9" t="b">
        <v>0</v>
      </c>
      <c r="R1" s="9" t="b">
        <v>0</v>
      </c>
      <c r="S1" s="9" t="b">
        <v>0</v>
      </c>
    </row>
    <row r="2" spans="1:19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9" x14ac:dyDescent="0.25">
      <c r="A3" s="13" t="str">
        <f>"Sample Inward Register : "&amp;TEXT(K6,"mmmm, yyyy")</f>
        <v>Sample Inward Register : July, 2025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9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9" ht="27" x14ac:dyDescent="0.25">
      <c r="A5" s="3" t="s">
        <v>12</v>
      </c>
      <c r="B5" s="3" t="s">
        <v>1</v>
      </c>
      <c r="C5" s="4" t="s">
        <v>2</v>
      </c>
      <c r="D5" s="3" t="s">
        <v>13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11" t="s">
        <v>9</v>
      </c>
      <c r="L5" s="11"/>
      <c r="M5" s="3" t="s">
        <v>10</v>
      </c>
      <c r="N5" s="3" t="s">
        <v>11</v>
      </c>
    </row>
    <row r="6" spans="1:19" x14ac:dyDescent="0.25">
      <c r="A6" s="5">
        <v>1</v>
      </c>
      <c r="B6" s="5" t="s">
        <v>14</v>
      </c>
      <c r="C6" s="8" t="s">
        <v>15</v>
      </c>
      <c r="D6" s="5" t="str">
        <f>IF(OR(B6="",H6=""),"","SMJ/"&amp;TEXT(H6,"yy/mm/")&amp;
IF(LOWER(B6)="water","WT",IF(LOWER(B6)="air","AA",IF(LOWER(B6)="soil","SO",IF(LOWER(B6)="stack","ST",IF(LOWER(B6)="coal","CO",IF(LOWER(B6)="biomass","BM","OT"))))))&amp;"/"&amp;
TEXT(COUNTIF(B$6:B6,B6),"000"))</f>
        <v>SMJ/25/07/OT/001</v>
      </c>
      <c r="E6" s="5" t="s">
        <v>16</v>
      </c>
      <c r="F6" s="10" t="s">
        <v>23</v>
      </c>
      <c r="G6" s="8" t="s">
        <v>17</v>
      </c>
      <c r="H6" s="6">
        <v>45843</v>
      </c>
      <c r="I6" s="8" t="s">
        <v>19</v>
      </c>
      <c r="J6" s="8" t="s">
        <v>20</v>
      </c>
      <c r="K6" s="6">
        <v>45845</v>
      </c>
      <c r="L6" s="7">
        <v>0.44</v>
      </c>
      <c r="M6" s="8" t="s">
        <v>18</v>
      </c>
      <c r="N6" s="5" t="s">
        <v>22</v>
      </c>
    </row>
    <row r="7" spans="1:19" x14ac:dyDescent="0.25">
      <c r="A7" s="5">
        <f>A6+1</f>
        <v>2</v>
      </c>
      <c r="B7" s="5" t="s">
        <v>14</v>
      </c>
      <c r="C7" s="8" t="s">
        <v>15</v>
      </c>
      <c r="D7" s="5" t="str">
        <f>IF(OR(B7="",H7=""),"","SMJ/"&amp;TEXT(H7,"yy/mm/")&amp;
IF(LOWER(B7)="water","WT",IF(LOWER(B7)="air","AA",IF(LOWER(B7)="soil","SO",IF(LOWER(B7)="stack","ST",IF(LOWER(B7)="coal","CO",IF(LOWER(B7)="biomass","BM","OT"))))))&amp;"/"&amp;
TEXT(COUNTIF(B$6:B7,B7),"000"))</f>
        <v>SMJ/25/07/OT/002</v>
      </c>
      <c r="E7" s="5" t="s">
        <v>16</v>
      </c>
      <c r="F7" s="10" t="s">
        <v>23</v>
      </c>
      <c r="G7" s="8" t="s">
        <v>17</v>
      </c>
      <c r="H7" s="6">
        <v>45843</v>
      </c>
      <c r="I7" s="8" t="s">
        <v>19</v>
      </c>
      <c r="J7" s="8" t="s">
        <v>20</v>
      </c>
      <c r="K7" s="6">
        <v>45845</v>
      </c>
      <c r="L7" s="7">
        <v>0.4405</v>
      </c>
      <c r="M7" s="8" t="s">
        <v>21</v>
      </c>
      <c r="N7" s="5" t="s">
        <v>22</v>
      </c>
    </row>
    <row r="8" spans="1:19" x14ac:dyDescent="0.25">
      <c r="A8" s="5">
        <f>A7+1</f>
        <v>3</v>
      </c>
      <c r="B8" s="5" t="s">
        <v>14</v>
      </c>
      <c r="C8" s="8" t="s">
        <v>15</v>
      </c>
      <c r="D8" s="5" t="str">
        <f>IF(OR(B8="",H8=""),"","SMJ/"&amp;TEXT(H8,"yy/mm/")&amp;
IF(LOWER(B8)="water","WT",IF(LOWER(B8)="air","AA",IF(LOWER(B8)="soil","SO",IF(LOWER(B8)="stack","ST",IF(LOWER(B8)="coal","CO",IF(LOWER(B8)="biomass","BM","OT"))))))&amp;"/"&amp;
TEXT(COUNTIF(B$6:B8,B8),"000"))</f>
        <v>SMJ/25/07/OT/003</v>
      </c>
      <c r="E8" s="5" t="s">
        <v>16</v>
      </c>
      <c r="F8" s="10" t="str">
        <f t="shared" ref="F8:F54" si="0">IF(B8="","",_xlfn.TEXTJOIN(", ",TRUE,IF(O$1,"Moisture",""),IF(P$1,"Ash",""),IF(Q$1,"VM",""),IF(R$1,"FC",""),IF(S$1,"GCV","")))</f>
        <v>Moisture</v>
      </c>
      <c r="G8" s="8" t="s">
        <v>17</v>
      </c>
      <c r="H8" s="6">
        <v>45843</v>
      </c>
      <c r="I8" s="8" t="s">
        <v>19</v>
      </c>
      <c r="J8" s="8" t="s">
        <v>20</v>
      </c>
      <c r="K8" s="6">
        <v>45845</v>
      </c>
      <c r="L8" s="7">
        <v>0.443</v>
      </c>
      <c r="M8" s="8" t="s">
        <v>24</v>
      </c>
      <c r="N8" s="5" t="s">
        <v>22</v>
      </c>
    </row>
    <row r="9" spans="1:19" x14ac:dyDescent="0.25">
      <c r="A9" s="5">
        <f t="shared" ref="A9:A55" si="1">A8+1</f>
        <v>4</v>
      </c>
      <c r="B9" s="5"/>
      <c r="C9" s="8"/>
      <c r="D9" s="5" t="str">
        <f>IF(OR(B9="",H9=""),"","SMJ/"&amp;TEXT(H9,"yy/mm/")&amp;
IF(LOWER(B9)="water","WT",IF(LOWER(B9)="air","AA",IF(LOWER(B9)="soil","SO",IF(LOWER(B9)="stack","ST",IF(LOWER(B9)="coal","CO",IF(LOWER(B9)="biomass","BM","OT"))))))&amp;"/"&amp;
TEXT(COUNTIF(B$6:B9,B9),"000"))</f>
        <v/>
      </c>
      <c r="E9" s="5"/>
      <c r="F9" s="10" t="str">
        <f t="shared" si="0"/>
        <v/>
      </c>
      <c r="G9" s="8"/>
      <c r="H9" s="6"/>
      <c r="I9" s="8"/>
      <c r="J9" s="8"/>
      <c r="K9" s="6" t="str">
        <f t="shared" ref="K7:K54" ca="1" si="2">IF(B9="","",TODAY())</f>
        <v/>
      </c>
      <c r="L9" s="7" t="str">
        <f t="shared" ref="L7:L54" ca="1" si="3">IF(B9="","",NOW())</f>
        <v/>
      </c>
      <c r="M9" s="8"/>
      <c r="N9" s="5" t="str" cm="1">
        <f t="array" ref="N9">IF(OR(B9={"Coal","Biofuel"}),"T12357"&amp;TEXT(K9,"yyT")&amp;TEXT(SUM(COUNTIF(B$6:B9,{"Coal","Biofuel"})),"00000000"),"")</f>
        <v/>
      </c>
    </row>
    <row r="10" spans="1:19" x14ac:dyDescent="0.25">
      <c r="A10" s="5">
        <f t="shared" si="1"/>
        <v>5</v>
      </c>
      <c r="B10" s="5"/>
      <c r="C10" s="8"/>
      <c r="D10" s="5" t="str">
        <f>IF(OR(B10="",H10=""),"","SMJ/"&amp;TEXT(H10,"yy/mm/")&amp;
IF(LOWER(B10)="water","WT",IF(LOWER(B10)="air","AA",IF(LOWER(B10)="soil","SO",IF(LOWER(B10)="stack","ST",IF(LOWER(B10)="coal","CO",IF(LOWER(B10)="biomass","BM","OT"))))))&amp;"/"&amp;
TEXT(COUNTIF(B$6:B10,B10),"000"))</f>
        <v/>
      </c>
      <c r="E10" s="5"/>
      <c r="F10" s="10" t="str">
        <f t="shared" si="0"/>
        <v/>
      </c>
      <c r="G10" s="8"/>
      <c r="H10" s="6"/>
      <c r="I10" s="8"/>
      <c r="J10" s="8"/>
      <c r="K10" s="6" t="str">
        <f t="shared" ca="1" si="2"/>
        <v/>
      </c>
      <c r="L10" s="7" t="str">
        <f t="shared" ca="1" si="3"/>
        <v/>
      </c>
      <c r="M10" s="8"/>
      <c r="N10" s="5" t="str" cm="1">
        <f t="array" ref="N10">IF(OR(B10={"Coal","Biofuel"}),"T12357"&amp;TEXT(K10,"yyT")&amp;TEXT(SUM(COUNTIF(B$6:B10,{"Coal","Biofuel"})),"00000000"),"")</f>
        <v/>
      </c>
    </row>
    <row r="11" spans="1:19" x14ac:dyDescent="0.25">
      <c r="A11" s="5">
        <f t="shared" si="1"/>
        <v>6</v>
      </c>
      <c r="B11" s="5"/>
      <c r="C11" s="8"/>
      <c r="D11" s="5" t="str">
        <f>IF(OR(B11="",H11=""),"","SMJ/"&amp;TEXT(H11,"yy/mm/")&amp;
IF(LOWER(B11)="water","WT",IF(LOWER(B11)="air","AA",IF(LOWER(B11)="soil","SO",IF(LOWER(B11)="stack","ST",IF(LOWER(B11)="coal","CO",IF(LOWER(B11)="biomass","BM","OT"))))))&amp;"/"&amp;
TEXT(COUNTIF(B$6:B11,B11),"000"))</f>
        <v/>
      </c>
      <c r="E11" s="5"/>
      <c r="F11" s="10" t="str">
        <f t="shared" si="0"/>
        <v/>
      </c>
      <c r="G11" s="8"/>
      <c r="H11" s="6"/>
      <c r="I11" s="8"/>
      <c r="J11" s="8"/>
      <c r="K11" s="6" t="str">
        <f t="shared" ca="1" si="2"/>
        <v/>
      </c>
      <c r="L11" s="7" t="str">
        <f t="shared" ca="1" si="3"/>
        <v/>
      </c>
      <c r="M11" s="8"/>
      <c r="N11" s="5" t="str" cm="1">
        <f t="array" ref="N11">IF(OR(B11={"Coal","Biofuel"}),"T12357"&amp;TEXT(K11,"yyT")&amp;TEXT(SUM(COUNTIF(B$6:B11,{"Coal","Biofuel"})),"00000000"),"")</f>
        <v/>
      </c>
    </row>
    <row r="12" spans="1:19" x14ac:dyDescent="0.25">
      <c r="A12" s="5">
        <f t="shared" si="1"/>
        <v>7</v>
      </c>
      <c r="B12" s="5"/>
      <c r="C12" s="8"/>
      <c r="D12" s="5" t="str">
        <f>IF(OR(B12="",H12=""),"","SMJ/"&amp;TEXT(H12,"yy/mm/")&amp;
IF(LOWER(B12)="water","WT",IF(LOWER(B12)="air","AA",IF(LOWER(B12)="soil","SO",IF(LOWER(B12)="stack","ST",IF(LOWER(B12)="coal","CO",IF(LOWER(B12)="biomass","BM","OT"))))))&amp;"/"&amp;
TEXT(COUNTIF(B$6:B12,B12),"000"))</f>
        <v/>
      </c>
      <c r="E12" s="5"/>
      <c r="F12" s="10" t="str">
        <f t="shared" si="0"/>
        <v/>
      </c>
      <c r="G12" s="8"/>
      <c r="H12" s="6"/>
      <c r="I12" s="8"/>
      <c r="J12" s="8"/>
      <c r="K12" s="6" t="str">
        <f t="shared" ca="1" si="2"/>
        <v/>
      </c>
      <c r="L12" s="7" t="str">
        <f t="shared" ca="1" si="3"/>
        <v/>
      </c>
      <c r="M12" s="8"/>
      <c r="N12" s="5" t="str" cm="1">
        <f t="array" ref="N12">IF(OR(B12={"Coal","Biofuel"}),"T12357"&amp;TEXT(K12,"yyT")&amp;TEXT(SUM(COUNTIF(B$6:B12,{"Coal","Biofuel"})),"00000000"),"")</f>
        <v/>
      </c>
    </row>
    <row r="13" spans="1:19" x14ac:dyDescent="0.25">
      <c r="A13" s="5">
        <f t="shared" si="1"/>
        <v>8</v>
      </c>
      <c r="B13" s="5"/>
      <c r="C13" s="8"/>
      <c r="D13" s="5" t="str">
        <f>IF(OR(B13="",H13=""),"","SMJ/"&amp;TEXT(H13,"yy/mm/")&amp;
IF(LOWER(B13)="water","WT",IF(LOWER(B13)="air","AA",IF(LOWER(B13)="soil","SO",IF(LOWER(B13)="stack","ST",IF(LOWER(B13)="coal","CO",IF(LOWER(B13)="biomass","BM","OT"))))))&amp;"/"&amp;
TEXT(COUNTIF(B$6:B13,B13),"000"))</f>
        <v/>
      </c>
      <c r="E13" s="5"/>
      <c r="F13" s="10" t="str">
        <f t="shared" si="0"/>
        <v/>
      </c>
      <c r="G13" s="8"/>
      <c r="H13" s="6"/>
      <c r="I13" s="8"/>
      <c r="J13" s="8"/>
      <c r="K13" s="6" t="str">
        <f t="shared" ca="1" si="2"/>
        <v/>
      </c>
      <c r="L13" s="7" t="str">
        <f t="shared" ca="1" si="3"/>
        <v/>
      </c>
      <c r="M13" s="8"/>
      <c r="N13" s="5" t="str" cm="1">
        <f t="array" ref="N13">IF(OR(B13={"Coal","Biofuel"}),"T12357"&amp;TEXT(K13,"yyT")&amp;TEXT(SUM(COUNTIF(B$6:B13,{"Coal","Biofuel"})),"00000000"),"")</f>
        <v/>
      </c>
    </row>
    <row r="14" spans="1:19" x14ac:dyDescent="0.25">
      <c r="A14" s="5">
        <f t="shared" si="1"/>
        <v>9</v>
      </c>
      <c r="B14" s="5"/>
      <c r="C14" s="8"/>
      <c r="D14" s="5" t="str">
        <f>IF(OR(B14="",H14=""),"","SMJ/"&amp;TEXT(H14,"yy/mm/")&amp;
IF(LOWER(B14)="water","WT",IF(LOWER(B14)="air","AA",IF(LOWER(B14)="soil","SO",IF(LOWER(B14)="stack","ST",IF(LOWER(B14)="coal","CO",IF(LOWER(B14)="biomass","BM","OT"))))))&amp;"/"&amp;
TEXT(COUNTIF(B$6:B14,B14),"000"))</f>
        <v/>
      </c>
      <c r="E14" s="5"/>
      <c r="F14" s="10" t="str">
        <f t="shared" si="0"/>
        <v/>
      </c>
      <c r="G14" s="8"/>
      <c r="H14" s="6"/>
      <c r="I14" s="8"/>
      <c r="J14" s="8"/>
      <c r="K14" s="6" t="str">
        <f t="shared" ca="1" si="2"/>
        <v/>
      </c>
      <c r="L14" s="7" t="str">
        <f t="shared" ca="1" si="3"/>
        <v/>
      </c>
      <c r="M14" s="8"/>
      <c r="N14" s="5" t="str" cm="1">
        <f t="array" ref="N14">IF(OR(B14={"Coal","Biofuel"}),"T12357"&amp;TEXT(K14,"yyT")&amp;TEXT(SUM(COUNTIF(B$6:B14,{"Coal","Biofuel"})),"00000000"),"")</f>
        <v/>
      </c>
    </row>
    <row r="15" spans="1:19" x14ac:dyDescent="0.25">
      <c r="A15" s="5">
        <f t="shared" si="1"/>
        <v>10</v>
      </c>
      <c r="B15" s="5"/>
      <c r="C15" s="8"/>
      <c r="D15" s="5" t="str">
        <f>IF(OR(B15="",H15=""),"","SMJ/"&amp;TEXT(H15,"yy/mm/")&amp;
IF(LOWER(B15)="water","WT",IF(LOWER(B15)="air","AA",IF(LOWER(B15)="soil","SO",IF(LOWER(B15)="stack","ST",IF(LOWER(B15)="coal","CO",IF(LOWER(B15)="biomass","BM","OT"))))))&amp;"/"&amp;
TEXT(COUNTIF(B$6:B15,B15),"000"))</f>
        <v/>
      </c>
      <c r="E15" s="5"/>
      <c r="F15" s="10" t="str">
        <f t="shared" si="0"/>
        <v/>
      </c>
      <c r="G15" s="8"/>
      <c r="H15" s="6"/>
      <c r="I15" s="8"/>
      <c r="J15" s="8"/>
      <c r="K15" s="6" t="str">
        <f t="shared" ca="1" si="2"/>
        <v/>
      </c>
      <c r="L15" s="7" t="str">
        <f t="shared" ca="1" si="3"/>
        <v/>
      </c>
      <c r="M15" s="8"/>
      <c r="N15" s="5" t="str" cm="1">
        <f t="array" ref="N15">IF(OR(B15={"Coal","Biofuel"}),"T12357"&amp;TEXT(K15,"yyT")&amp;TEXT(SUM(COUNTIF(B$6:B15,{"Coal","Biofuel"})),"00000000"),"")</f>
        <v/>
      </c>
    </row>
    <row r="16" spans="1:19" x14ac:dyDescent="0.25">
      <c r="A16" s="5">
        <f t="shared" si="1"/>
        <v>11</v>
      </c>
      <c r="B16" s="5"/>
      <c r="C16" s="8"/>
      <c r="D16" s="5" t="str">
        <f>IF(OR(B16="",H16=""),"","SMJ/"&amp;TEXT(H16,"yy/mm/")&amp;
IF(LOWER(B16)="water","WT",IF(LOWER(B16)="air","AA",IF(LOWER(B16)="soil","SO",IF(LOWER(B16)="stack","ST",IF(LOWER(B16)="coal","CO",IF(LOWER(B16)="biomass","BM","OT"))))))&amp;"/"&amp;
TEXT(COUNTIF(B$6:B16,B16),"000"))</f>
        <v/>
      </c>
      <c r="E16" s="5"/>
      <c r="F16" s="10" t="str">
        <f t="shared" si="0"/>
        <v/>
      </c>
      <c r="G16" s="8"/>
      <c r="H16" s="6"/>
      <c r="I16" s="8"/>
      <c r="J16" s="8"/>
      <c r="K16" s="6" t="str">
        <f t="shared" ca="1" si="2"/>
        <v/>
      </c>
      <c r="L16" s="7" t="str">
        <f t="shared" ca="1" si="3"/>
        <v/>
      </c>
      <c r="M16" s="8"/>
      <c r="N16" s="5" t="str" cm="1">
        <f t="array" ref="N16">IF(OR(B16={"Coal","Biofuel"}),"T12357"&amp;TEXT(K16,"yyT")&amp;TEXT(SUM(COUNTIF(B$6:B16,{"Coal","Biofuel"})),"00000000"),"")</f>
        <v/>
      </c>
    </row>
    <row r="17" spans="1:14" x14ac:dyDescent="0.25">
      <c r="A17" s="5">
        <f t="shared" si="1"/>
        <v>12</v>
      </c>
      <c r="B17" s="5"/>
      <c r="C17" s="8"/>
      <c r="D17" s="5" t="str">
        <f>IF(OR(B17="",H17=""),"","SMJ/"&amp;TEXT(H17,"yy/mm/")&amp;
IF(LOWER(B17)="water","WT",IF(LOWER(B17)="air","AA",IF(LOWER(B17)="soil","SO",IF(LOWER(B17)="stack","ST",IF(LOWER(B17)="coal","CO",IF(LOWER(B17)="biomass","BM","OT"))))))&amp;"/"&amp;
TEXT(COUNTIF(B$6:B17,B17),"000"))</f>
        <v/>
      </c>
      <c r="E17" s="5"/>
      <c r="F17" s="10" t="str">
        <f t="shared" si="0"/>
        <v/>
      </c>
      <c r="G17" s="8"/>
      <c r="H17" s="6"/>
      <c r="I17" s="8"/>
      <c r="J17" s="8"/>
      <c r="K17" s="6" t="str">
        <f t="shared" ca="1" si="2"/>
        <v/>
      </c>
      <c r="L17" s="7" t="str">
        <f t="shared" ca="1" si="3"/>
        <v/>
      </c>
      <c r="M17" s="8"/>
      <c r="N17" s="5" t="str" cm="1">
        <f t="array" ref="N17">IF(OR(B17={"Coal","Biofuel"}),"T12357"&amp;TEXT(K17,"yyT")&amp;TEXT(SUM(COUNTIF(B$6:B17,{"Coal","Biofuel"})),"00000000"),"")</f>
        <v/>
      </c>
    </row>
    <row r="18" spans="1:14" x14ac:dyDescent="0.25">
      <c r="A18" s="5">
        <f t="shared" si="1"/>
        <v>13</v>
      </c>
      <c r="B18" s="5"/>
      <c r="C18" s="8"/>
      <c r="D18" s="5" t="str">
        <f>IF(OR(B18="",H18=""),"","SMJ/"&amp;TEXT(H18,"yy/mm/")&amp;
IF(LOWER(B18)="water","WT",IF(LOWER(B18)="air","AA",IF(LOWER(B18)="soil","SO",IF(LOWER(B18)="stack","ST",IF(LOWER(B18)="coal","CO",IF(LOWER(B18)="biomass","BM","OT"))))))&amp;"/"&amp;
TEXT(COUNTIF(B$6:B18,B18),"000"))</f>
        <v/>
      </c>
      <c r="E18" s="5"/>
      <c r="F18" s="10" t="str">
        <f t="shared" si="0"/>
        <v/>
      </c>
      <c r="G18" s="8"/>
      <c r="H18" s="6"/>
      <c r="I18" s="8"/>
      <c r="J18" s="8"/>
      <c r="K18" s="6" t="str">
        <f t="shared" ca="1" si="2"/>
        <v/>
      </c>
      <c r="L18" s="7" t="str">
        <f t="shared" ca="1" si="3"/>
        <v/>
      </c>
      <c r="M18" s="8"/>
      <c r="N18" s="5" t="str" cm="1">
        <f t="array" ref="N18">IF(OR(B18={"Coal","Biofuel"}),"T12357"&amp;TEXT(K18,"yyT")&amp;TEXT(SUM(COUNTIF(B$6:B18,{"Coal","Biofuel"})),"00000000"),"")</f>
        <v/>
      </c>
    </row>
    <row r="19" spans="1:14" x14ac:dyDescent="0.25">
      <c r="A19" s="5">
        <f t="shared" si="1"/>
        <v>14</v>
      </c>
      <c r="B19" s="5"/>
      <c r="C19" s="8"/>
      <c r="D19" s="5" t="str">
        <f>IF(OR(B19="",H19=""),"","SMJ/"&amp;TEXT(H19,"yy/mm/")&amp;
IF(LOWER(B19)="water","WT",IF(LOWER(B19)="air","AA",IF(LOWER(B19)="soil","SO",IF(LOWER(B19)="stack","ST",IF(LOWER(B19)="coal","CO",IF(LOWER(B19)="biomass","BM","OT"))))))&amp;"/"&amp;
TEXT(COUNTIF(B$6:B19,B19),"000"))</f>
        <v/>
      </c>
      <c r="E19" s="5"/>
      <c r="F19" s="10" t="str">
        <f t="shared" si="0"/>
        <v/>
      </c>
      <c r="G19" s="8"/>
      <c r="H19" s="6"/>
      <c r="I19" s="8"/>
      <c r="J19" s="8"/>
      <c r="K19" s="6" t="str">
        <f t="shared" ca="1" si="2"/>
        <v/>
      </c>
      <c r="L19" s="7" t="str">
        <f t="shared" ca="1" si="3"/>
        <v/>
      </c>
      <c r="M19" s="8"/>
      <c r="N19" s="5" t="str" cm="1">
        <f t="array" ref="N19">IF(OR(B19={"Coal","Biofuel"}),"T12357"&amp;TEXT(K19,"yyT")&amp;TEXT(SUM(COUNTIF(B$6:B19,{"Coal","Biofuel"})),"00000000"),"")</f>
        <v/>
      </c>
    </row>
    <row r="20" spans="1:14" x14ac:dyDescent="0.25">
      <c r="A20" s="5">
        <f t="shared" si="1"/>
        <v>15</v>
      </c>
      <c r="B20" s="5"/>
      <c r="C20" s="8"/>
      <c r="D20" s="5" t="str">
        <f>IF(OR(B20="",H20=""),"","SMJ/"&amp;TEXT(H20,"yy/mm/")&amp;
IF(LOWER(B20)="water","WT",IF(LOWER(B20)="air","AA",IF(LOWER(B20)="soil","SO",IF(LOWER(B20)="stack","ST",IF(LOWER(B20)="coal","CO",IF(LOWER(B20)="biomass","BM","OT"))))))&amp;"/"&amp;
TEXT(COUNTIF(B$6:B20,B20),"000"))</f>
        <v/>
      </c>
      <c r="E20" s="5"/>
      <c r="F20" s="10" t="str">
        <f t="shared" si="0"/>
        <v/>
      </c>
      <c r="G20" s="8"/>
      <c r="H20" s="6"/>
      <c r="I20" s="8"/>
      <c r="J20" s="8"/>
      <c r="K20" s="6" t="str">
        <f t="shared" ca="1" si="2"/>
        <v/>
      </c>
      <c r="L20" s="7" t="str">
        <f t="shared" ca="1" si="3"/>
        <v/>
      </c>
      <c r="M20" s="8"/>
      <c r="N20" s="5" t="str" cm="1">
        <f t="array" ref="N20">IF(OR(B20={"Coal","Biofuel"}),"T12357"&amp;TEXT(K20,"yyT")&amp;TEXT(SUM(COUNTIF(B$6:B20,{"Coal","Biofuel"})),"00000000"),"")</f>
        <v/>
      </c>
    </row>
    <row r="21" spans="1:14" x14ac:dyDescent="0.25">
      <c r="A21" s="5">
        <f t="shared" si="1"/>
        <v>16</v>
      </c>
      <c r="B21" s="5"/>
      <c r="C21" s="8"/>
      <c r="D21" s="5" t="str">
        <f>IF(OR(B21="",H21=""),"","SMJ/"&amp;TEXT(H21,"yy/mm/")&amp;
IF(LOWER(B21)="water","WT",IF(LOWER(B21)="air","AA",IF(LOWER(B21)="soil","SO",IF(LOWER(B21)="stack","ST",IF(LOWER(B21)="coal","CO",IF(LOWER(B21)="biomass","BM","OT"))))))&amp;"/"&amp;
TEXT(COUNTIF(B$6:B21,B21),"000"))</f>
        <v/>
      </c>
      <c r="E21" s="5"/>
      <c r="F21" s="10" t="str">
        <f t="shared" si="0"/>
        <v/>
      </c>
      <c r="G21" s="8"/>
      <c r="H21" s="6"/>
      <c r="I21" s="8"/>
      <c r="J21" s="8"/>
      <c r="K21" s="6" t="str">
        <f t="shared" ca="1" si="2"/>
        <v/>
      </c>
      <c r="L21" s="7" t="str">
        <f t="shared" ca="1" si="3"/>
        <v/>
      </c>
      <c r="M21" s="8"/>
      <c r="N21" s="5" t="str" cm="1">
        <f t="array" ref="N21">IF(OR(B21={"Coal","Biofuel"}),"T12357"&amp;TEXT(K21,"yyT")&amp;TEXT(SUM(COUNTIF(B$6:B21,{"Coal","Biofuel"})),"00000000"),"")</f>
        <v/>
      </c>
    </row>
    <row r="22" spans="1:14" x14ac:dyDescent="0.25">
      <c r="A22" s="5">
        <f t="shared" si="1"/>
        <v>17</v>
      </c>
      <c r="B22" s="5"/>
      <c r="C22" s="8"/>
      <c r="D22" s="5" t="str">
        <f>IF(OR(B22="",H22=""),"","SMJ/"&amp;TEXT(H22,"yy/mm/")&amp;
IF(LOWER(B22)="water","WT",IF(LOWER(B22)="air","AA",IF(LOWER(B22)="soil","SO",IF(LOWER(B22)="stack","ST",IF(LOWER(B22)="coal","CO",IF(LOWER(B22)="biomass","BM","OT"))))))&amp;"/"&amp;
TEXT(COUNTIF(B$6:B22,B22),"000"))</f>
        <v/>
      </c>
      <c r="E22" s="5"/>
      <c r="F22" s="10" t="str">
        <f t="shared" si="0"/>
        <v/>
      </c>
      <c r="G22" s="8"/>
      <c r="H22" s="6"/>
      <c r="I22" s="8"/>
      <c r="J22" s="8"/>
      <c r="K22" s="6" t="str">
        <f t="shared" ca="1" si="2"/>
        <v/>
      </c>
      <c r="L22" s="7" t="str">
        <f t="shared" ca="1" si="3"/>
        <v/>
      </c>
      <c r="M22" s="8"/>
      <c r="N22" s="5" t="str" cm="1">
        <f t="array" ref="N22">IF(OR(B22={"Coal","Biofuel"}),"T12357"&amp;TEXT(K22,"yyT")&amp;TEXT(SUM(COUNTIF(B$6:B22,{"Coal","Biofuel"})),"00000000"),"")</f>
        <v/>
      </c>
    </row>
    <row r="23" spans="1:14" x14ac:dyDescent="0.25">
      <c r="A23" s="5">
        <f t="shared" si="1"/>
        <v>18</v>
      </c>
      <c r="B23" s="5"/>
      <c r="C23" s="8"/>
      <c r="D23" s="5" t="str">
        <f>IF(OR(B23="",H23=""),"","SMJ/"&amp;TEXT(H23,"yy/mm/")&amp;
IF(LOWER(B23)="water","WT",IF(LOWER(B23)="air","AA",IF(LOWER(B23)="soil","SO",IF(LOWER(B23)="stack","ST",IF(LOWER(B23)="coal","CO",IF(LOWER(B23)="biomass","BM","OT"))))))&amp;"/"&amp;
TEXT(COUNTIF(B$6:B23,B23),"000"))</f>
        <v/>
      </c>
      <c r="E23" s="5"/>
      <c r="F23" s="10" t="str">
        <f t="shared" si="0"/>
        <v/>
      </c>
      <c r="G23" s="8"/>
      <c r="H23" s="6"/>
      <c r="I23" s="8"/>
      <c r="J23" s="8"/>
      <c r="K23" s="6" t="str">
        <f t="shared" ca="1" si="2"/>
        <v/>
      </c>
      <c r="L23" s="7" t="str">
        <f t="shared" ca="1" si="3"/>
        <v/>
      </c>
      <c r="M23" s="8"/>
      <c r="N23" s="5" t="str" cm="1">
        <f t="array" ref="N23">IF(OR(B23={"Coal","Biofuel"}),"T12357"&amp;TEXT(K23,"yyT")&amp;TEXT(SUM(COUNTIF(B$6:B23,{"Coal","Biofuel"})),"00000000"),"")</f>
        <v/>
      </c>
    </row>
    <row r="24" spans="1:14" x14ac:dyDescent="0.25">
      <c r="A24" s="5">
        <f t="shared" si="1"/>
        <v>19</v>
      </c>
      <c r="B24" s="5"/>
      <c r="C24" s="8"/>
      <c r="D24" s="5" t="str">
        <f>IF(OR(B24="",H24=""),"","SMJ/"&amp;TEXT(H24,"yy/mm/")&amp;
IF(LOWER(B24)="water","WT",IF(LOWER(B24)="air","AA",IF(LOWER(B24)="soil","SO",IF(LOWER(B24)="stack","ST",IF(LOWER(B24)="coal","CO",IF(LOWER(B24)="biomass","BM","OT"))))))&amp;"/"&amp;
TEXT(COUNTIF(B$6:B24,B24),"000"))</f>
        <v/>
      </c>
      <c r="E24" s="5"/>
      <c r="F24" s="10" t="str">
        <f t="shared" si="0"/>
        <v/>
      </c>
      <c r="G24" s="8"/>
      <c r="H24" s="6"/>
      <c r="I24" s="8"/>
      <c r="J24" s="8"/>
      <c r="K24" s="6" t="str">
        <f t="shared" ca="1" si="2"/>
        <v/>
      </c>
      <c r="L24" s="7" t="str">
        <f t="shared" ca="1" si="3"/>
        <v/>
      </c>
      <c r="M24" s="8"/>
      <c r="N24" s="5" t="str" cm="1">
        <f t="array" ref="N24">IF(OR(B24={"Coal","Biofuel"}),"T12357"&amp;TEXT(K24,"yyT")&amp;TEXT(SUM(COUNTIF(B$6:B24,{"Coal","Biofuel"})),"00000000"),"")</f>
        <v/>
      </c>
    </row>
    <row r="25" spans="1:14" x14ac:dyDescent="0.25">
      <c r="A25" s="5">
        <f t="shared" si="1"/>
        <v>20</v>
      </c>
      <c r="B25" s="5"/>
      <c r="C25" s="8"/>
      <c r="D25" s="5" t="str">
        <f>IF(OR(B25="",H25=""),"","SMJ/"&amp;TEXT(H25,"yy/mm/")&amp;
IF(LOWER(B25)="water","WT",IF(LOWER(B25)="air","AA",IF(LOWER(B25)="soil","SO",IF(LOWER(B25)="stack","ST",IF(LOWER(B25)="coal","CO",IF(LOWER(B25)="biomass","BM","OT"))))))&amp;"/"&amp;
TEXT(COUNTIF(B$6:B25,B25),"000"))</f>
        <v/>
      </c>
      <c r="E25" s="5"/>
      <c r="F25" s="10" t="str">
        <f t="shared" si="0"/>
        <v/>
      </c>
      <c r="G25" s="8"/>
      <c r="H25" s="6"/>
      <c r="I25" s="8"/>
      <c r="J25" s="8"/>
      <c r="K25" s="6" t="str">
        <f t="shared" ca="1" si="2"/>
        <v/>
      </c>
      <c r="L25" s="7" t="str">
        <f t="shared" ca="1" si="3"/>
        <v/>
      </c>
      <c r="M25" s="8"/>
      <c r="N25" s="5" t="str" cm="1">
        <f t="array" ref="N25">IF(OR(B25={"Coal","Biofuel"}),"T12357"&amp;TEXT(K25,"yyT")&amp;TEXT(SUM(COUNTIF(B$6:B25,{"Coal","Biofuel"})),"00000000"),"")</f>
        <v/>
      </c>
    </row>
    <row r="26" spans="1:14" x14ac:dyDescent="0.25">
      <c r="A26" s="5">
        <f t="shared" si="1"/>
        <v>21</v>
      </c>
      <c r="B26" s="5"/>
      <c r="C26" s="8"/>
      <c r="D26" s="5" t="str">
        <f>IF(OR(B26="",H26=""),"","SMJ/"&amp;TEXT(H26,"yy/mm/")&amp;
IF(LOWER(B26)="water","WT",IF(LOWER(B26)="air","AA",IF(LOWER(B26)="soil","SO",IF(LOWER(B26)="stack","ST",IF(LOWER(B26)="coal","CO",IF(LOWER(B26)="biomass","BM","OT"))))))&amp;"/"&amp;
TEXT(COUNTIF(B$6:B26,B26),"000"))</f>
        <v/>
      </c>
      <c r="E26" s="5"/>
      <c r="F26" s="10" t="str">
        <f t="shared" si="0"/>
        <v/>
      </c>
      <c r="G26" s="8"/>
      <c r="H26" s="6"/>
      <c r="I26" s="8"/>
      <c r="J26" s="8"/>
      <c r="K26" s="6" t="str">
        <f t="shared" ca="1" si="2"/>
        <v/>
      </c>
      <c r="L26" s="7" t="str">
        <f t="shared" ca="1" si="3"/>
        <v/>
      </c>
      <c r="M26" s="8"/>
      <c r="N26" s="5" t="str" cm="1">
        <f t="array" ref="N26">IF(OR(B26={"Coal","Biofuel"}),"T12357"&amp;TEXT(K26,"yyT")&amp;TEXT(SUM(COUNTIF(B$6:B26,{"Coal","Biofuel"})),"00000000"),"")</f>
        <v/>
      </c>
    </row>
    <row r="27" spans="1:14" x14ac:dyDescent="0.25">
      <c r="A27" s="5">
        <f t="shared" si="1"/>
        <v>22</v>
      </c>
      <c r="B27" s="5"/>
      <c r="C27" s="8"/>
      <c r="D27" s="5" t="str">
        <f>IF(OR(B27="",H27=""),"","SMJ/"&amp;TEXT(H27,"yy/mm/")&amp;
IF(LOWER(B27)="water","WT",IF(LOWER(B27)="air","AA",IF(LOWER(B27)="soil","SO",IF(LOWER(B27)="stack","ST",IF(LOWER(B27)="coal","CO",IF(LOWER(B27)="biomass","BM","OT"))))))&amp;"/"&amp;
TEXT(COUNTIF(B$6:B27,B27),"000"))</f>
        <v/>
      </c>
      <c r="E27" s="5"/>
      <c r="F27" s="10" t="str">
        <f t="shared" si="0"/>
        <v/>
      </c>
      <c r="G27" s="8"/>
      <c r="H27" s="6"/>
      <c r="I27" s="8"/>
      <c r="J27" s="8"/>
      <c r="K27" s="6" t="str">
        <f t="shared" ca="1" si="2"/>
        <v/>
      </c>
      <c r="L27" s="7" t="str">
        <f t="shared" ca="1" si="3"/>
        <v/>
      </c>
      <c r="M27" s="8"/>
      <c r="N27" s="5" t="str" cm="1">
        <f t="array" ref="N27">IF(OR(B27={"Coal","Biofuel"}),"T12357"&amp;TEXT(K27,"yyT")&amp;TEXT(SUM(COUNTIF(B$6:B27,{"Coal","Biofuel"})),"00000000"),"")</f>
        <v/>
      </c>
    </row>
    <row r="28" spans="1:14" x14ac:dyDescent="0.25">
      <c r="A28" s="5">
        <f t="shared" si="1"/>
        <v>23</v>
      </c>
      <c r="B28" s="5"/>
      <c r="C28" s="8"/>
      <c r="D28" s="5" t="str">
        <f>IF(OR(B28="",H28=""),"","SMJ/"&amp;TEXT(H28,"yy/mm/")&amp;
IF(LOWER(B28)="water","WT",IF(LOWER(B28)="air","AA",IF(LOWER(B28)="soil","SO",IF(LOWER(B28)="stack","ST",IF(LOWER(B28)="coal","CO",IF(LOWER(B28)="biomass","BM","OT"))))))&amp;"/"&amp;
TEXT(COUNTIF(B$6:B28,B28),"000"))</f>
        <v/>
      </c>
      <c r="E28" s="5"/>
      <c r="F28" s="10" t="str">
        <f t="shared" si="0"/>
        <v/>
      </c>
      <c r="G28" s="8"/>
      <c r="H28" s="6"/>
      <c r="I28" s="8"/>
      <c r="J28" s="8"/>
      <c r="K28" s="6" t="str">
        <f t="shared" ca="1" si="2"/>
        <v/>
      </c>
      <c r="L28" s="7" t="str">
        <f t="shared" ca="1" si="3"/>
        <v/>
      </c>
      <c r="M28" s="8"/>
      <c r="N28" s="5" t="str" cm="1">
        <f t="array" ref="N28">IF(OR(B28={"Coal","Biofuel"}),"T12357"&amp;TEXT(K28,"yyT")&amp;TEXT(SUM(COUNTIF(B$6:B28,{"Coal","Biofuel"})),"00000000"),"")</f>
        <v/>
      </c>
    </row>
    <row r="29" spans="1:14" x14ac:dyDescent="0.25">
      <c r="A29" s="5">
        <f t="shared" si="1"/>
        <v>24</v>
      </c>
      <c r="B29" s="5"/>
      <c r="C29" s="8"/>
      <c r="D29" s="5" t="str">
        <f>IF(OR(B29="",H29=""),"","SMJ/"&amp;TEXT(H29,"yy/mm/")&amp;
IF(LOWER(B29)="water","WT",IF(LOWER(B29)="air","AA",IF(LOWER(B29)="soil","SO",IF(LOWER(B29)="stack","ST",IF(LOWER(B29)="coal","CO",IF(LOWER(B29)="biomass","BM","OT"))))))&amp;"/"&amp;
TEXT(COUNTIF(B$6:B29,B29),"000"))</f>
        <v/>
      </c>
      <c r="E29" s="5"/>
      <c r="F29" s="10" t="str">
        <f t="shared" si="0"/>
        <v/>
      </c>
      <c r="G29" s="8"/>
      <c r="H29" s="6"/>
      <c r="I29" s="8"/>
      <c r="J29" s="8"/>
      <c r="K29" s="6" t="str">
        <f t="shared" ca="1" si="2"/>
        <v/>
      </c>
      <c r="L29" s="7" t="str">
        <f t="shared" ca="1" si="3"/>
        <v/>
      </c>
      <c r="M29" s="8"/>
      <c r="N29" s="5" t="str" cm="1">
        <f t="array" ref="N29">IF(OR(B29={"Coal","Biofuel"}),"T12357"&amp;TEXT(K29,"yyT")&amp;TEXT(SUM(COUNTIF(B$6:B29,{"Coal","Biofuel"})),"00000000"),"")</f>
        <v/>
      </c>
    </row>
    <row r="30" spans="1:14" x14ac:dyDescent="0.25">
      <c r="A30" s="5">
        <f t="shared" si="1"/>
        <v>25</v>
      </c>
      <c r="B30" s="5"/>
      <c r="C30" s="8"/>
      <c r="D30" s="5" t="str">
        <f>IF(OR(B30="",H30=""),"","SMJ/"&amp;TEXT(H30,"yy/mm/")&amp;
IF(LOWER(B30)="water","WT",IF(LOWER(B30)="air","AA",IF(LOWER(B30)="soil","SO",IF(LOWER(B30)="stack","ST",IF(LOWER(B30)="coal","CO",IF(LOWER(B30)="biomass","BM","OT"))))))&amp;"/"&amp;
TEXT(COUNTIF(B$6:B30,B30),"000"))</f>
        <v/>
      </c>
      <c r="E30" s="5"/>
      <c r="F30" s="10" t="str">
        <f t="shared" si="0"/>
        <v/>
      </c>
      <c r="G30" s="8"/>
      <c r="H30" s="6"/>
      <c r="I30" s="8"/>
      <c r="J30" s="8"/>
      <c r="K30" s="6" t="str">
        <f t="shared" ca="1" si="2"/>
        <v/>
      </c>
      <c r="L30" s="7" t="str">
        <f t="shared" ca="1" si="3"/>
        <v/>
      </c>
      <c r="M30" s="8"/>
      <c r="N30" s="5" t="str" cm="1">
        <f t="array" ref="N30">IF(OR(B30={"Coal","Biofuel"}),"T12357"&amp;TEXT(K30,"yyT")&amp;TEXT(SUM(COUNTIF(B$6:B30,{"Coal","Biofuel"})),"00000000"),"")</f>
        <v/>
      </c>
    </row>
    <row r="31" spans="1:14" x14ac:dyDescent="0.25">
      <c r="A31" s="5">
        <f t="shared" si="1"/>
        <v>26</v>
      </c>
      <c r="B31" s="5"/>
      <c r="C31" s="8"/>
      <c r="D31" s="5" t="str">
        <f>IF(OR(B31="",H31=""),"","SMJ/"&amp;TEXT(H31,"yy/mm/")&amp;
IF(LOWER(B31)="water","WT",IF(LOWER(B31)="air","AA",IF(LOWER(B31)="soil","SO",IF(LOWER(B31)="stack","ST",IF(LOWER(B31)="coal","CO",IF(LOWER(B31)="biomass","BM","OT"))))))&amp;"/"&amp;
TEXT(COUNTIF(B$6:B31,B31),"000"))</f>
        <v/>
      </c>
      <c r="E31" s="5"/>
      <c r="F31" s="10" t="str">
        <f t="shared" si="0"/>
        <v/>
      </c>
      <c r="G31" s="8"/>
      <c r="H31" s="6"/>
      <c r="I31" s="8"/>
      <c r="J31" s="8"/>
      <c r="K31" s="6" t="str">
        <f t="shared" ca="1" si="2"/>
        <v/>
      </c>
      <c r="L31" s="7" t="str">
        <f t="shared" ca="1" si="3"/>
        <v/>
      </c>
      <c r="M31" s="8"/>
      <c r="N31" s="5" t="str" cm="1">
        <f t="array" ref="N31">IF(OR(B31={"Coal","Biofuel"}),"T12357"&amp;TEXT(K31,"yyT")&amp;TEXT(SUM(COUNTIF(B$6:B31,{"Coal","Biofuel"})),"00000000"),"")</f>
        <v/>
      </c>
    </row>
    <row r="32" spans="1:14" x14ac:dyDescent="0.25">
      <c r="A32" s="5">
        <f t="shared" si="1"/>
        <v>27</v>
      </c>
      <c r="B32" s="5"/>
      <c r="C32" s="8"/>
      <c r="D32" s="5" t="str">
        <f>IF(OR(B32="",H32=""),"","SMJ/"&amp;TEXT(H32,"yy/mm/")&amp;
IF(LOWER(B32)="water","WT",IF(LOWER(B32)="air","AA",IF(LOWER(B32)="soil","SO",IF(LOWER(B32)="stack","ST",IF(LOWER(B32)="coal","CO",IF(LOWER(B32)="biomass","BM","OT"))))))&amp;"/"&amp;
TEXT(COUNTIF(B$6:B32,B32),"000"))</f>
        <v/>
      </c>
      <c r="E32" s="5"/>
      <c r="F32" s="10" t="str">
        <f t="shared" si="0"/>
        <v/>
      </c>
      <c r="G32" s="8"/>
      <c r="H32" s="6"/>
      <c r="I32" s="8"/>
      <c r="J32" s="8"/>
      <c r="K32" s="6" t="str">
        <f t="shared" ca="1" si="2"/>
        <v/>
      </c>
      <c r="L32" s="7" t="str">
        <f t="shared" ca="1" si="3"/>
        <v/>
      </c>
      <c r="M32" s="8"/>
      <c r="N32" s="5" t="str" cm="1">
        <f t="array" ref="N32">IF(OR(B32={"Coal","Biofuel"}),"T12357"&amp;TEXT(K32,"yyT")&amp;TEXT(SUM(COUNTIF(B$6:B32,{"Coal","Biofuel"})),"00000000"),"")</f>
        <v/>
      </c>
    </row>
    <row r="33" spans="1:14" x14ac:dyDescent="0.25">
      <c r="A33" s="5">
        <f t="shared" si="1"/>
        <v>28</v>
      </c>
      <c r="B33" s="5"/>
      <c r="C33" s="8"/>
      <c r="D33" s="5" t="str">
        <f>IF(OR(B33="",H33=""),"","SMJ/"&amp;TEXT(H33,"yy/mm/")&amp;
IF(LOWER(B33)="water","WT",IF(LOWER(B33)="air","AA",IF(LOWER(B33)="soil","SO",IF(LOWER(B33)="stack","ST",IF(LOWER(B33)="coal","CO",IF(LOWER(B33)="biomass","BM","OT"))))))&amp;"/"&amp;
TEXT(COUNTIF(B$6:B33,B33),"000"))</f>
        <v/>
      </c>
      <c r="E33" s="5"/>
      <c r="F33" s="10" t="str">
        <f t="shared" si="0"/>
        <v/>
      </c>
      <c r="G33" s="8"/>
      <c r="H33" s="6"/>
      <c r="I33" s="8"/>
      <c r="J33" s="8"/>
      <c r="K33" s="6" t="str">
        <f t="shared" ca="1" si="2"/>
        <v/>
      </c>
      <c r="L33" s="7" t="str">
        <f t="shared" ca="1" si="3"/>
        <v/>
      </c>
      <c r="M33" s="8"/>
      <c r="N33" s="5" t="str" cm="1">
        <f t="array" ref="N33">IF(OR(B33={"Coal","Biofuel"}),"T12357"&amp;TEXT(K33,"yyT")&amp;TEXT(SUM(COUNTIF(B$6:B33,{"Coal","Biofuel"})),"00000000"),"")</f>
        <v/>
      </c>
    </row>
    <row r="34" spans="1:14" x14ac:dyDescent="0.25">
      <c r="A34" s="5">
        <f t="shared" si="1"/>
        <v>29</v>
      </c>
      <c r="B34" s="5"/>
      <c r="C34" s="8"/>
      <c r="D34" s="5" t="str">
        <f>IF(OR(B34="",H34=""),"","SMJ/"&amp;TEXT(H34,"yy/mm/")&amp;
IF(LOWER(B34)="water","WT",IF(LOWER(B34)="air","AA",IF(LOWER(B34)="soil","SO",IF(LOWER(B34)="stack","ST",IF(LOWER(B34)="coal","CO",IF(LOWER(B34)="biomass","BM","OT"))))))&amp;"/"&amp;
TEXT(COUNTIF(B$6:B34,B34),"000"))</f>
        <v/>
      </c>
      <c r="E34" s="5"/>
      <c r="F34" s="10" t="str">
        <f t="shared" si="0"/>
        <v/>
      </c>
      <c r="G34" s="8"/>
      <c r="H34" s="6"/>
      <c r="I34" s="8"/>
      <c r="J34" s="8"/>
      <c r="K34" s="6" t="str">
        <f t="shared" ca="1" si="2"/>
        <v/>
      </c>
      <c r="L34" s="7" t="str">
        <f t="shared" ca="1" si="3"/>
        <v/>
      </c>
      <c r="M34" s="8"/>
      <c r="N34" s="5" t="str" cm="1">
        <f t="array" ref="N34">IF(OR(B34={"Coal","Biofuel"}),"T12357"&amp;TEXT(K34,"yyT")&amp;TEXT(SUM(COUNTIF(B$6:B34,{"Coal","Biofuel"})),"00000000"),"")</f>
        <v/>
      </c>
    </row>
    <row r="35" spans="1:14" x14ac:dyDescent="0.25">
      <c r="A35" s="5">
        <f t="shared" si="1"/>
        <v>30</v>
      </c>
      <c r="B35" s="5"/>
      <c r="C35" s="8"/>
      <c r="D35" s="5" t="str">
        <f>IF(OR(B35="",H35=""),"","SMJ/"&amp;TEXT(H35,"yy/mm/")&amp;
IF(LOWER(B35)="water","WT",IF(LOWER(B35)="air","AA",IF(LOWER(B35)="soil","SO",IF(LOWER(B35)="stack","ST",IF(LOWER(B35)="coal","CO",IF(LOWER(B35)="biomass","BM","OT"))))))&amp;"/"&amp;
TEXT(COUNTIF(B$6:B35,B35),"000"))</f>
        <v/>
      </c>
      <c r="E35" s="5"/>
      <c r="F35" s="10" t="str">
        <f t="shared" si="0"/>
        <v/>
      </c>
      <c r="G35" s="8"/>
      <c r="H35" s="6"/>
      <c r="I35" s="8"/>
      <c r="J35" s="8"/>
      <c r="K35" s="6" t="str">
        <f t="shared" ca="1" si="2"/>
        <v/>
      </c>
      <c r="L35" s="7" t="str">
        <f t="shared" ca="1" si="3"/>
        <v/>
      </c>
      <c r="M35" s="8"/>
      <c r="N35" s="5" t="str" cm="1">
        <f t="array" ref="N35">IF(OR(B35={"Coal","Biofuel"}),"T12357"&amp;TEXT(K35,"yyT")&amp;TEXT(SUM(COUNTIF(B$6:B35,{"Coal","Biofuel"})),"00000000"),"")</f>
        <v/>
      </c>
    </row>
    <row r="36" spans="1:14" x14ac:dyDescent="0.25">
      <c r="A36" s="5">
        <f t="shared" si="1"/>
        <v>31</v>
      </c>
      <c r="B36" s="5"/>
      <c r="C36" s="8"/>
      <c r="D36" s="5" t="str">
        <f>IF(OR(B36="",H36=""),"","SMJ/"&amp;TEXT(H36,"yy/mm/")&amp;
IF(LOWER(B36)="water","WT",IF(LOWER(B36)="air","AA",IF(LOWER(B36)="soil","SO",IF(LOWER(B36)="stack","ST",IF(LOWER(B36)="coal","CO",IF(LOWER(B36)="biomass","BM","OT"))))))&amp;"/"&amp;
TEXT(COUNTIF(B$6:B36,B36),"000"))</f>
        <v/>
      </c>
      <c r="E36" s="5"/>
      <c r="F36" s="10" t="str">
        <f t="shared" si="0"/>
        <v/>
      </c>
      <c r="G36" s="8"/>
      <c r="H36" s="6"/>
      <c r="I36" s="8"/>
      <c r="J36" s="8"/>
      <c r="K36" s="6" t="str">
        <f t="shared" ca="1" si="2"/>
        <v/>
      </c>
      <c r="L36" s="7" t="str">
        <f t="shared" ca="1" si="3"/>
        <v/>
      </c>
      <c r="M36" s="8"/>
      <c r="N36" s="5" t="str" cm="1">
        <f t="array" ref="N36">IF(OR(B36={"Coal","Biofuel"}),"T12357"&amp;TEXT(K36,"yyT")&amp;TEXT(SUM(COUNTIF(B$6:B36,{"Coal","Biofuel"})),"00000000"),"")</f>
        <v/>
      </c>
    </row>
    <row r="37" spans="1:14" x14ac:dyDescent="0.25">
      <c r="A37" s="5">
        <f t="shared" si="1"/>
        <v>32</v>
      </c>
      <c r="B37" s="5"/>
      <c r="C37" s="8"/>
      <c r="D37" s="5" t="str">
        <f>IF(OR(B37="",H37=""),"","SMJ/"&amp;TEXT(H37,"yy/mm/")&amp;
IF(LOWER(B37)="water","WT",IF(LOWER(B37)="air","AA",IF(LOWER(B37)="soil","SO",IF(LOWER(B37)="stack","ST",IF(LOWER(B37)="coal","CO",IF(LOWER(B37)="biomass","BM","OT"))))))&amp;"/"&amp;
TEXT(COUNTIF(B$6:B37,B37),"000"))</f>
        <v/>
      </c>
      <c r="E37" s="5"/>
      <c r="F37" s="10" t="str">
        <f t="shared" si="0"/>
        <v/>
      </c>
      <c r="G37" s="8"/>
      <c r="H37" s="6"/>
      <c r="I37" s="8"/>
      <c r="J37" s="8"/>
      <c r="K37" s="6" t="str">
        <f t="shared" ca="1" si="2"/>
        <v/>
      </c>
      <c r="L37" s="7" t="str">
        <f t="shared" ca="1" si="3"/>
        <v/>
      </c>
      <c r="M37" s="8"/>
      <c r="N37" s="5" t="str" cm="1">
        <f t="array" ref="N37">IF(OR(B37={"Coal","Biofuel"}),"T12357"&amp;TEXT(K37,"yyT")&amp;TEXT(SUM(COUNTIF(B$6:B37,{"Coal","Biofuel"})),"00000000"),"")</f>
        <v/>
      </c>
    </row>
    <row r="38" spans="1:14" x14ac:dyDescent="0.25">
      <c r="A38" s="5">
        <f t="shared" si="1"/>
        <v>33</v>
      </c>
      <c r="B38" s="5"/>
      <c r="C38" s="8"/>
      <c r="D38" s="5" t="str">
        <f>IF(OR(B38="",H38=""),"","SMJ/"&amp;TEXT(H38,"yy/mm/")&amp;
IF(LOWER(B38)="water","WT",IF(LOWER(B38)="air","AA",IF(LOWER(B38)="soil","SO",IF(LOWER(B38)="stack","ST",IF(LOWER(B38)="coal","CO",IF(LOWER(B38)="biomass","BM","OT"))))))&amp;"/"&amp;
TEXT(COUNTIF(B$6:B38,B38),"000"))</f>
        <v/>
      </c>
      <c r="E38" s="5"/>
      <c r="F38" s="10" t="str">
        <f t="shared" si="0"/>
        <v/>
      </c>
      <c r="G38" s="8"/>
      <c r="H38" s="6"/>
      <c r="I38" s="8"/>
      <c r="J38" s="8"/>
      <c r="K38" s="6" t="str">
        <f t="shared" ca="1" si="2"/>
        <v/>
      </c>
      <c r="L38" s="7" t="str">
        <f t="shared" ca="1" si="3"/>
        <v/>
      </c>
      <c r="M38" s="8"/>
      <c r="N38" s="5" t="str" cm="1">
        <f t="array" ref="N38">IF(OR(B38={"Coal","Biofuel"}),"T12357"&amp;TEXT(K38,"yyT")&amp;TEXT(SUM(COUNTIF(B$6:B38,{"Coal","Biofuel"})),"00000000"),"")</f>
        <v/>
      </c>
    </row>
    <row r="39" spans="1:14" x14ac:dyDescent="0.25">
      <c r="A39" s="5">
        <f t="shared" si="1"/>
        <v>34</v>
      </c>
      <c r="B39" s="5"/>
      <c r="C39" s="8"/>
      <c r="D39" s="5" t="str">
        <f>IF(OR(B39="",H39=""),"","SMJ/"&amp;TEXT(H39,"yy/mm/")&amp;
IF(LOWER(B39)="water","WT",IF(LOWER(B39)="air","AA",IF(LOWER(B39)="soil","SO",IF(LOWER(B39)="stack","ST",IF(LOWER(B39)="coal","CO",IF(LOWER(B39)="biomass","BM","OT"))))))&amp;"/"&amp;
TEXT(COUNTIF(B$6:B39,B39),"000"))</f>
        <v/>
      </c>
      <c r="E39" s="5"/>
      <c r="F39" s="10" t="str">
        <f t="shared" si="0"/>
        <v/>
      </c>
      <c r="G39" s="8"/>
      <c r="H39" s="6"/>
      <c r="I39" s="8"/>
      <c r="J39" s="8"/>
      <c r="K39" s="6" t="str">
        <f t="shared" ca="1" si="2"/>
        <v/>
      </c>
      <c r="L39" s="7" t="str">
        <f t="shared" ca="1" si="3"/>
        <v/>
      </c>
      <c r="M39" s="8"/>
      <c r="N39" s="5" t="str" cm="1">
        <f t="array" ref="N39">IF(OR(B39={"Coal","Biofuel"}),"T12357"&amp;TEXT(K39,"yyT")&amp;TEXT(SUM(COUNTIF(B$6:B39,{"Coal","Biofuel"})),"00000000"),"")</f>
        <v/>
      </c>
    </row>
    <row r="40" spans="1:14" x14ac:dyDescent="0.25">
      <c r="A40" s="5">
        <f t="shared" si="1"/>
        <v>35</v>
      </c>
      <c r="B40" s="5"/>
      <c r="C40" s="8"/>
      <c r="D40" s="5" t="str">
        <f>IF(OR(B40="",H40=""),"","SMJ/"&amp;TEXT(H40,"yy/mm/")&amp;
IF(LOWER(B40)="water","WT",IF(LOWER(B40)="air","AA",IF(LOWER(B40)="soil","SO",IF(LOWER(B40)="stack","ST",IF(LOWER(B40)="coal","CO",IF(LOWER(B40)="biomass","BM","OT"))))))&amp;"/"&amp;
TEXT(COUNTIF(B$6:B40,B40),"000"))</f>
        <v/>
      </c>
      <c r="E40" s="5"/>
      <c r="F40" s="10" t="str">
        <f t="shared" si="0"/>
        <v/>
      </c>
      <c r="G40" s="8"/>
      <c r="H40" s="6"/>
      <c r="I40" s="8"/>
      <c r="J40" s="8"/>
      <c r="K40" s="6" t="str">
        <f t="shared" ca="1" si="2"/>
        <v/>
      </c>
      <c r="L40" s="7" t="str">
        <f t="shared" ca="1" si="3"/>
        <v/>
      </c>
      <c r="M40" s="8"/>
      <c r="N40" s="5" t="str" cm="1">
        <f t="array" ref="N40">IF(OR(B40={"Coal","Biofuel"}),"T12357"&amp;TEXT(K40,"yyT")&amp;TEXT(SUM(COUNTIF(B$6:B40,{"Coal","Biofuel"})),"00000000"),"")</f>
        <v/>
      </c>
    </row>
    <row r="41" spans="1:14" x14ac:dyDescent="0.25">
      <c r="A41" s="5">
        <f t="shared" si="1"/>
        <v>36</v>
      </c>
      <c r="B41" s="5"/>
      <c r="C41" s="8"/>
      <c r="D41" s="5" t="str">
        <f>IF(OR(B41="",H41=""),"","SMJ/"&amp;TEXT(H41,"yy/mm/")&amp;
IF(LOWER(B41)="water","WT",IF(LOWER(B41)="air","AA",IF(LOWER(B41)="soil","SO",IF(LOWER(B41)="stack","ST",IF(LOWER(B41)="coal","CO",IF(LOWER(B41)="biomass","BM","OT"))))))&amp;"/"&amp;
TEXT(COUNTIF(B$6:B41,B41),"000"))</f>
        <v/>
      </c>
      <c r="E41" s="5"/>
      <c r="F41" s="10" t="str">
        <f t="shared" si="0"/>
        <v/>
      </c>
      <c r="G41" s="8"/>
      <c r="H41" s="6"/>
      <c r="I41" s="8"/>
      <c r="J41" s="8"/>
      <c r="K41" s="6" t="str">
        <f t="shared" ca="1" si="2"/>
        <v/>
      </c>
      <c r="L41" s="7" t="str">
        <f t="shared" ca="1" si="3"/>
        <v/>
      </c>
      <c r="M41" s="8"/>
      <c r="N41" s="5" t="str" cm="1">
        <f t="array" ref="N41">IF(OR(B41={"Coal","Biofuel"}),"T12357"&amp;TEXT(K41,"yyT")&amp;TEXT(SUM(COUNTIF(B$6:B41,{"Coal","Biofuel"})),"00000000"),"")</f>
        <v/>
      </c>
    </row>
    <row r="42" spans="1:14" x14ac:dyDescent="0.25">
      <c r="A42" s="5">
        <f t="shared" si="1"/>
        <v>37</v>
      </c>
      <c r="B42" s="5"/>
      <c r="C42" s="8"/>
      <c r="D42" s="5" t="str">
        <f>IF(OR(B42="",H42=""),"","SMJ/"&amp;TEXT(H42,"yy/mm/")&amp;
IF(LOWER(B42)="water","WT",IF(LOWER(B42)="air","AA",IF(LOWER(B42)="soil","SO",IF(LOWER(B42)="stack","ST",IF(LOWER(B42)="coal","CO",IF(LOWER(B42)="biomass","BM","OT"))))))&amp;"/"&amp;
TEXT(COUNTIF(B$6:B42,B42),"000"))</f>
        <v/>
      </c>
      <c r="E42" s="5"/>
      <c r="F42" s="10" t="str">
        <f t="shared" si="0"/>
        <v/>
      </c>
      <c r="G42" s="8"/>
      <c r="H42" s="6"/>
      <c r="I42" s="8"/>
      <c r="J42" s="8"/>
      <c r="K42" s="6" t="str">
        <f t="shared" ca="1" si="2"/>
        <v/>
      </c>
      <c r="L42" s="7" t="str">
        <f t="shared" ca="1" si="3"/>
        <v/>
      </c>
      <c r="M42" s="8"/>
      <c r="N42" s="5" t="str" cm="1">
        <f t="array" ref="N42">IF(OR(B42={"Coal","Biofuel"}),"T12357"&amp;TEXT(K42,"yyT")&amp;TEXT(SUM(COUNTIF(B$6:B42,{"Coal","Biofuel"})),"00000000"),"")</f>
        <v/>
      </c>
    </row>
    <row r="43" spans="1:14" x14ac:dyDescent="0.25">
      <c r="A43" s="5">
        <f t="shared" si="1"/>
        <v>38</v>
      </c>
      <c r="B43" s="5"/>
      <c r="C43" s="8"/>
      <c r="D43" s="5" t="str">
        <f>IF(OR(B43="",H43=""),"","SMJ/"&amp;TEXT(H43,"yy/mm/")&amp;
IF(LOWER(B43)="water","WT",IF(LOWER(B43)="air","AA",IF(LOWER(B43)="soil","SO",IF(LOWER(B43)="stack","ST",IF(LOWER(B43)="coal","CO",IF(LOWER(B43)="biomass","BM","OT"))))))&amp;"/"&amp;
TEXT(COUNTIF(B$6:B43,B43),"000"))</f>
        <v/>
      </c>
      <c r="E43" s="5"/>
      <c r="F43" s="10" t="str">
        <f t="shared" si="0"/>
        <v/>
      </c>
      <c r="G43" s="8"/>
      <c r="H43" s="6"/>
      <c r="I43" s="8"/>
      <c r="J43" s="8"/>
      <c r="K43" s="6" t="str">
        <f t="shared" ca="1" si="2"/>
        <v/>
      </c>
      <c r="L43" s="7" t="str">
        <f t="shared" ca="1" si="3"/>
        <v/>
      </c>
      <c r="M43" s="8"/>
      <c r="N43" s="5" t="str" cm="1">
        <f t="array" ref="N43">IF(OR(B43={"Coal","Biofuel"}),"T12357"&amp;TEXT(K43,"yyT")&amp;TEXT(SUM(COUNTIF(B$6:B43,{"Coal","Biofuel"})),"00000000"),"")</f>
        <v/>
      </c>
    </row>
    <row r="44" spans="1:14" x14ac:dyDescent="0.25">
      <c r="A44" s="5">
        <f t="shared" si="1"/>
        <v>39</v>
      </c>
      <c r="B44" s="5"/>
      <c r="C44" s="8"/>
      <c r="D44" s="5" t="str">
        <f>IF(OR(B44="",H44=""),"","SMJ/"&amp;TEXT(H44,"yy/mm/")&amp;
IF(LOWER(B44)="water","WT",IF(LOWER(B44)="air","AA",IF(LOWER(B44)="soil","SO",IF(LOWER(B44)="stack","ST",IF(LOWER(B44)="coal","CO",IF(LOWER(B44)="biomass","BM","OT"))))))&amp;"/"&amp;
TEXT(COUNTIF(B$6:B44,B44),"000"))</f>
        <v/>
      </c>
      <c r="E44" s="5"/>
      <c r="F44" s="10" t="str">
        <f t="shared" si="0"/>
        <v/>
      </c>
      <c r="G44" s="8"/>
      <c r="H44" s="6"/>
      <c r="I44" s="8"/>
      <c r="J44" s="8"/>
      <c r="K44" s="6" t="str">
        <f t="shared" ca="1" si="2"/>
        <v/>
      </c>
      <c r="L44" s="7" t="str">
        <f t="shared" ca="1" si="3"/>
        <v/>
      </c>
      <c r="M44" s="8"/>
      <c r="N44" s="5" t="str" cm="1">
        <f t="array" ref="N44">IF(OR(B44={"Coal","Biofuel"}),"T12357"&amp;TEXT(K44,"yyT")&amp;TEXT(SUM(COUNTIF(B$6:B44,{"Coal","Biofuel"})),"00000000"),"")</f>
        <v/>
      </c>
    </row>
    <row r="45" spans="1:14" x14ac:dyDescent="0.25">
      <c r="A45" s="5">
        <f t="shared" si="1"/>
        <v>40</v>
      </c>
      <c r="B45" s="5"/>
      <c r="C45" s="8"/>
      <c r="D45" s="5" t="str">
        <f>IF(OR(B45="",H45=""),"","SMJ/"&amp;TEXT(H45,"yy/mm/")&amp;
IF(LOWER(B45)="water","WT",IF(LOWER(B45)="air","AA",IF(LOWER(B45)="soil","SO",IF(LOWER(B45)="stack","ST",IF(LOWER(B45)="coal","CO",IF(LOWER(B45)="biomass","BM","OT"))))))&amp;"/"&amp;
TEXT(COUNTIF(B$6:B45,B45),"000"))</f>
        <v/>
      </c>
      <c r="E45" s="5"/>
      <c r="F45" s="10" t="str">
        <f t="shared" si="0"/>
        <v/>
      </c>
      <c r="G45" s="8"/>
      <c r="H45" s="6"/>
      <c r="I45" s="8"/>
      <c r="J45" s="8"/>
      <c r="K45" s="6" t="str">
        <f t="shared" ca="1" si="2"/>
        <v/>
      </c>
      <c r="L45" s="7" t="str">
        <f t="shared" ca="1" si="3"/>
        <v/>
      </c>
      <c r="M45" s="8"/>
      <c r="N45" s="5" t="str" cm="1">
        <f t="array" ref="N45">IF(OR(B45={"Coal","Biofuel"}),"T12357"&amp;TEXT(K45,"yyT")&amp;TEXT(SUM(COUNTIF(B$6:B45,{"Coal","Biofuel"})),"00000000"),"")</f>
        <v/>
      </c>
    </row>
    <row r="46" spans="1:14" x14ac:dyDescent="0.25">
      <c r="A46" s="5">
        <f t="shared" si="1"/>
        <v>41</v>
      </c>
      <c r="B46" s="5"/>
      <c r="C46" s="8"/>
      <c r="D46" s="5" t="str">
        <f>IF(OR(B46="",H46=""),"","SMJ/"&amp;TEXT(H46,"yy/mm/")&amp;
IF(LOWER(B46)="water","WT",IF(LOWER(B46)="air","AA",IF(LOWER(B46)="soil","SO",IF(LOWER(B46)="stack","ST",IF(LOWER(B46)="coal","CO",IF(LOWER(B46)="biomass","BM","OT"))))))&amp;"/"&amp;
TEXT(COUNTIF(B$6:B46,B46),"000"))</f>
        <v/>
      </c>
      <c r="E46" s="5"/>
      <c r="F46" s="10" t="str">
        <f t="shared" si="0"/>
        <v/>
      </c>
      <c r="G46" s="8"/>
      <c r="H46" s="6"/>
      <c r="I46" s="8"/>
      <c r="J46" s="8"/>
      <c r="K46" s="6" t="str">
        <f t="shared" ca="1" si="2"/>
        <v/>
      </c>
      <c r="L46" s="7" t="str">
        <f t="shared" ca="1" si="3"/>
        <v/>
      </c>
      <c r="M46" s="8"/>
      <c r="N46" s="5" t="str" cm="1">
        <f t="array" ref="N46">IF(OR(B46={"Coal","Biofuel"}),"T12357"&amp;TEXT(K46,"yyT")&amp;TEXT(SUM(COUNTIF(B$6:B46,{"Coal","Biofuel"})),"00000000"),"")</f>
        <v/>
      </c>
    </row>
    <row r="47" spans="1:14" x14ac:dyDescent="0.25">
      <c r="A47" s="5">
        <f t="shared" si="1"/>
        <v>42</v>
      </c>
      <c r="B47" s="5"/>
      <c r="C47" s="8"/>
      <c r="D47" s="5" t="str">
        <f>IF(OR(B47="",H47=""),"","SMJ/"&amp;TEXT(H47,"yy/mm/")&amp;
IF(LOWER(B47)="water","WT",IF(LOWER(B47)="air","AA",IF(LOWER(B47)="soil","SO",IF(LOWER(B47)="stack","ST",IF(LOWER(B47)="coal","CO",IF(LOWER(B47)="biomass","BM","OT"))))))&amp;"/"&amp;
TEXT(COUNTIF(B$6:B47,B47),"000"))</f>
        <v/>
      </c>
      <c r="E47" s="5"/>
      <c r="F47" s="10" t="str">
        <f t="shared" si="0"/>
        <v/>
      </c>
      <c r="G47" s="8"/>
      <c r="H47" s="6"/>
      <c r="I47" s="8"/>
      <c r="J47" s="8"/>
      <c r="K47" s="6" t="str">
        <f t="shared" ca="1" si="2"/>
        <v/>
      </c>
      <c r="L47" s="7" t="str">
        <f t="shared" ca="1" si="3"/>
        <v/>
      </c>
      <c r="M47" s="8"/>
      <c r="N47" s="5" t="str" cm="1">
        <f t="array" ref="N47">IF(OR(B47={"Coal","Biofuel"}),"T12357"&amp;TEXT(K47,"yyT")&amp;TEXT(SUM(COUNTIF(B$6:B47,{"Coal","Biofuel"})),"00000000"),"")</f>
        <v/>
      </c>
    </row>
    <row r="48" spans="1:14" x14ac:dyDescent="0.25">
      <c r="A48" s="5">
        <f t="shared" si="1"/>
        <v>43</v>
      </c>
      <c r="B48" s="5"/>
      <c r="C48" s="8"/>
      <c r="D48" s="5" t="str">
        <f>IF(OR(B48="",H48=""),"","SMJ/"&amp;TEXT(H48,"yy/mm/")&amp;
IF(LOWER(B48)="water","WT",IF(LOWER(B48)="air","AA",IF(LOWER(B48)="soil","SO",IF(LOWER(B48)="stack","ST",IF(LOWER(B48)="coal","CO",IF(LOWER(B48)="biomass","BM","OT"))))))&amp;"/"&amp;
TEXT(COUNTIF(B$6:B48,B48),"000"))</f>
        <v/>
      </c>
      <c r="E48" s="5"/>
      <c r="F48" s="10" t="str">
        <f t="shared" si="0"/>
        <v/>
      </c>
      <c r="G48" s="8"/>
      <c r="H48" s="6"/>
      <c r="I48" s="8"/>
      <c r="J48" s="8"/>
      <c r="K48" s="6" t="str">
        <f t="shared" ca="1" si="2"/>
        <v/>
      </c>
      <c r="L48" s="7" t="str">
        <f t="shared" ca="1" si="3"/>
        <v/>
      </c>
      <c r="M48" s="8"/>
      <c r="N48" s="5" t="str" cm="1">
        <f t="array" ref="N48">IF(OR(B48={"Coal","Biofuel"}),"T12357"&amp;TEXT(K48,"yyT")&amp;TEXT(SUM(COUNTIF(B$6:B48,{"Coal","Biofuel"})),"00000000"),"")</f>
        <v/>
      </c>
    </row>
    <row r="49" spans="1:14" x14ac:dyDescent="0.25">
      <c r="A49" s="5">
        <f t="shared" si="1"/>
        <v>44</v>
      </c>
      <c r="B49" s="5"/>
      <c r="C49" s="8"/>
      <c r="D49" s="5" t="str">
        <f>IF(OR(B49="",H49=""),"","SMJ/"&amp;TEXT(H49,"yy/mm/")&amp;
IF(LOWER(B49)="water","WT",IF(LOWER(B49)="air","AA",IF(LOWER(B49)="soil","SO",IF(LOWER(B49)="stack","ST",IF(LOWER(B49)="coal","CO",IF(LOWER(B49)="biomass","BM","OT"))))))&amp;"/"&amp;
TEXT(COUNTIF(B$6:B49,B49),"000"))</f>
        <v/>
      </c>
      <c r="E49" s="5"/>
      <c r="F49" s="10" t="str">
        <f t="shared" si="0"/>
        <v/>
      </c>
      <c r="G49" s="8"/>
      <c r="H49" s="6"/>
      <c r="I49" s="8"/>
      <c r="J49" s="8"/>
      <c r="K49" s="6" t="str">
        <f t="shared" ca="1" si="2"/>
        <v/>
      </c>
      <c r="L49" s="7" t="str">
        <f t="shared" ca="1" si="3"/>
        <v/>
      </c>
      <c r="M49" s="8"/>
      <c r="N49" s="5" t="str" cm="1">
        <f t="array" ref="N49">IF(OR(B49={"Coal","Biofuel"}),"T12357"&amp;TEXT(K49,"yyT")&amp;TEXT(SUM(COUNTIF(B$6:B49,{"Coal","Biofuel"})),"00000000"),"")</f>
        <v/>
      </c>
    </row>
    <row r="50" spans="1:14" x14ac:dyDescent="0.25">
      <c r="A50" s="5">
        <f t="shared" si="1"/>
        <v>45</v>
      </c>
      <c r="B50" s="5"/>
      <c r="C50" s="8"/>
      <c r="D50" s="5" t="str">
        <f>IF(OR(B50="",H50=""),"","SMJ/"&amp;TEXT(H50,"yy/mm/")&amp;
IF(LOWER(B50)="water","WT",IF(LOWER(B50)="air","AA",IF(LOWER(B50)="soil","SO",IF(LOWER(B50)="stack","ST",IF(LOWER(B50)="coal","CO",IF(LOWER(B50)="biomass","BM","OT"))))))&amp;"/"&amp;
TEXT(COUNTIF(B$6:B50,B50),"000"))</f>
        <v/>
      </c>
      <c r="E50" s="5"/>
      <c r="F50" s="10" t="str">
        <f t="shared" si="0"/>
        <v/>
      </c>
      <c r="G50" s="8"/>
      <c r="H50" s="6"/>
      <c r="I50" s="8"/>
      <c r="J50" s="8"/>
      <c r="K50" s="6" t="str">
        <f t="shared" ca="1" si="2"/>
        <v/>
      </c>
      <c r="L50" s="7" t="str">
        <f t="shared" ca="1" si="3"/>
        <v/>
      </c>
      <c r="M50" s="8"/>
      <c r="N50" s="5" t="str" cm="1">
        <f t="array" ref="N50">IF(OR(B50={"Coal","Biofuel"}),"T12357"&amp;TEXT(K50,"yyT")&amp;TEXT(SUM(COUNTIF(B$6:B50,{"Coal","Biofuel"})),"00000000"),"")</f>
        <v/>
      </c>
    </row>
    <row r="51" spans="1:14" x14ac:dyDescent="0.25">
      <c r="A51" s="5">
        <f t="shared" si="1"/>
        <v>46</v>
      </c>
      <c r="B51" s="5"/>
      <c r="C51" s="8"/>
      <c r="D51" s="5" t="str">
        <f>IF(OR(B51="",H51=""),"","SMJ/"&amp;TEXT(H51,"yy/mm/")&amp;
IF(LOWER(B51)="water","WT",IF(LOWER(B51)="air","AA",IF(LOWER(B51)="soil","SO",IF(LOWER(B51)="stack","ST",IF(LOWER(B51)="coal","CO",IF(LOWER(B51)="biomass","BM","OT"))))))&amp;"/"&amp;
TEXT(COUNTIF(B$6:B51,B51),"000"))</f>
        <v/>
      </c>
      <c r="E51" s="5"/>
      <c r="F51" s="10" t="str">
        <f t="shared" si="0"/>
        <v/>
      </c>
      <c r="G51" s="8"/>
      <c r="H51" s="6"/>
      <c r="I51" s="8"/>
      <c r="J51" s="8"/>
      <c r="K51" s="6" t="str">
        <f t="shared" ca="1" si="2"/>
        <v/>
      </c>
      <c r="L51" s="7" t="str">
        <f t="shared" ca="1" si="3"/>
        <v/>
      </c>
      <c r="M51" s="8"/>
      <c r="N51" s="5" t="str" cm="1">
        <f t="array" ref="N51">IF(OR(B51={"Coal","Biofuel"}),"T12357"&amp;TEXT(K51,"yyT")&amp;TEXT(SUM(COUNTIF(B$6:B51,{"Coal","Biofuel"})),"00000000"),"")</f>
        <v/>
      </c>
    </row>
    <row r="52" spans="1:14" x14ac:dyDescent="0.25">
      <c r="A52" s="5">
        <f t="shared" si="1"/>
        <v>47</v>
      </c>
      <c r="B52" s="5"/>
      <c r="C52" s="8"/>
      <c r="D52" s="5" t="str">
        <f>IF(OR(B52="",H52=""),"","SMJ/"&amp;TEXT(H52,"yy/mm/")&amp;
IF(LOWER(B52)="water","WT",IF(LOWER(B52)="air","AA",IF(LOWER(B52)="soil","SO",IF(LOWER(B52)="stack","ST",IF(LOWER(B52)="coal","CO",IF(LOWER(B52)="biomass","BM","OT"))))))&amp;"/"&amp;
TEXT(COUNTIF(B$6:B52,B52),"000"))</f>
        <v/>
      </c>
      <c r="E52" s="5"/>
      <c r="F52" s="10" t="str">
        <f t="shared" si="0"/>
        <v/>
      </c>
      <c r="G52" s="8"/>
      <c r="H52" s="6"/>
      <c r="I52" s="8"/>
      <c r="J52" s="8"/>
      <c r="K52" s="6" t="str">
        <f t="shared" ca="1" si="2"/>
        <v/>
      </c>
      <c r="L52" s="7" t="str">
        <f t="shared" ca="1" si="3"/>
        <v/>
      </c>
      <c r="M52" s="8"/>
      <c r="N52" s="5" t="str" cm="1">
        <f t="array" ref="N52">IF(OR(B52={"Coal","Biofuel"}),"T12357"&amp;TEXT(K52,"yyT")&amp;TEXT(SUM(COUNTIF(B$6:B52,{"Coal","Biofuel"})),"00000000"),"")</f>
        <v/>
      </c>
    </row>
    <row r="53" spans="1:14" x14ac:dyDescent="0.25">
      <c r="A53" s="5">
        <f t="shared" si="1"/>
        <v>48</v>
      </c>
      <c r="B53" s="5"/>
      <c r="C53" s="8"/>
      <c r="D53" s="5" t="str">
        <f>IF(OR(B53="",H53=""),"","SMJ/"&amp;TEXT(H53,"yy/mm/")&amp;
IF(LOWER(B53)="water","WT",IF(LOWER(B53)="air","AA",IF(LOWER(B53)="soil","SO",IF(LOWER(B53)="stack","ST",IF(LOWER(B53)="coal","CO",IF(LOWER(B53)="biomass","BM","OT"))))))&amp;"/"&amp;
TEXT(COUNTIF(B$6:B53,B53),"000"))</f>
        <v/>
      </c>
      <c r="E53" s="5"/>
      <c r="F53" s="10" t="str">
        <f t="shared" si="0"/>
        <v/>
      </c>
      <c r="G53" s="8"/>
      <c r="H53" s="6"/>
      <c r="I53" s="8"/>
      <c r="J53" s="8"/>
      <c r="K53" s="6" t="str">
        <f t="shared" ca="1" si="2"/>
        <v/>
      </c>
      <c r="L53" s="7" t="str">
        <f t="shared" ca="1" si="3"/>
        <v/>
      </c>
      <c r="M53" s="8"/>
      <c r="N53" s="5" t="str" cm="1">
        <f t="array" ref="N53">IF(OR(B53={"Coal","Biofuel"}),"T12357"&amp;TEXT(K53,"yyT")&amp;TEXT(SUM(COUNTIF(B$6:B53,{"Coal","Biofuel"})),"00000000"),"")</f>
        <v/>
      </c>
    </row>
    <row r="54" spans="1:14" x14ac:dyDescent="0.25">
      <c r="A54" s="5">
        <f t="shared" si="1"/>
        <v>49</v>
      </c>
      <c r="B54" s="5"/>
      <c r="C54" s="8"/>
      <c r="D54" s="5" t="str">
        <f>IF(OR(B54="",H54=""),"","SMJ/"&amp;TEXT(H54,"yy/mm/")&amp;
IF(LOWER(B54)="water","WT",IF(LOWER(B54)="air","AA",IF(LOWER(B54)="soil","SO",IF(LOWER(B54)="stack","ST",IF(LOWER(B54)="coal","CO",IF(LOWER(B54)="biomass","BM","OT"))))))&amp;"/"&amp;
TEXT(COUNTIF(B$6:B54,B54),"000"))</f>
        <v/>
      </c>
      <c r="E54" s="5"/>
      <c r="F54" s="10" t="str">
        <f t="shared" si="0"/>
        <v/>
      </c>
      <c r="G54" s="8"/>
      <c r="H54" s="6"/>
      <c r="I54" s="8"/>
      <c r="J54" s="8"/>
      <c r="K54" s="6" t="str">
        <f t="shared" ca="1" si="2"/>
        <v/>
      </c>
      <c r="L54" s="7" t="str">
        <f t="shared" ca="1" si="3"/>
        <v/>
      </c>
      <c r="M54" s="8"/>
      <c r="N54" s="5" t="str" cm="1">
        <f t="array" ref="N54">IF(OR(B54={"Coal","Biofuel"}),"T12357"&amp;TEXT(K54,"yyT")&amp;TEXT(SUM(COUNTIF(B$6:B54,{"Coal","Biofuel"})),"00000000"),"")</f>
        <v/>
      </c>
    </row>
    <row r="55" spans="1:14" x14ac:dyDescent="0.25">
      <c r="A55" s="5">
        <f t="shared" si="1"/>
        <v>50</v>
      </c>
      <c r="B55" s="5"/>
      <c r="C55" s="8"/>
      <c r="D55" s="5" t="str">
        <f>IF(OR(B55="",H55=""),"","SMJ/"&amp;TEXT(H55,"yy/mm/")&amp;
IF(LOWER(B55)="water","WT",IF(LOWER(B55)="air","AA",IF(LOWER(B55)="soil","SO",IF(LOWER(B55)="stack","ST",IF(LOWER(B55)="coal","CO",IF(LOWER(B55)="biomass","BM","OT"))))))&amp;"/"&amp;
TEXT(COUNTIF(B$6:B55,B55),"000"))</f>
        <v/>
      </c>
      <c r="E55" s="5"/>
      <c r="F55" s="10" t="str">
        <f t="shared" ref="F55" si="4">IF(B55="","",_xlfn.TEXTJOIN(", ",TRUE,IF(O$1,"Moisture",""),IF(P$1,"Ash",""),IF(Q$1,"VM",""),IF(R$1,"FC",""),IF(S$1,"GCV","")))</f>
        <v/>
      </c>
      <c r="G55" s="8"/>
      <c r="H55" s="6"/>
      <c r="I55" s="8"/>
      <c r="J55" s="8"/>
      <c r="K55" s="6" t="str">
        <f t="shared" ref="K55" ca="1" si="5">IF(B55="","",TODAY())</f>
        <v/>
      </c>
      <c r="L55" s="7" t="str">
        <f t="shared" ref="L55" ca="1" si="6">IF(B55="","",NOW())</f>
        <v/>
      </c>
      <c r="M55" s="8"/>
      <c r="N55" s="5" t="str" cm="1">
        <f t="array" ref="N55">IF(OR(B55={"Coal","Biofuel"}),"T12357"&amp;TEXT(K55,"yyT")&amp;TEXT(SUM(COUNTIF(B$6:B55,{"Coal","Biofuel"})),"00000000"),"")</f>
        <v/>
      </c>
    </row>
  </sheetData>
  <mergeCells count="3">
    <mergeCell ref="K5:L5"/>
    <mergeCell ref="A1:N2"/>
    <mergeCell ref="A3:N4"/>
  </mergeCells>
  <dataValidations count="1">
    <dataValidation type="list" errorStyle="warning" allowBlank="1" showInputMessage="1" showErrorMessage="1" sqref="B6:B55" xr:uid="{E2DE1345-CBED-4C55-AD3E-A945233EDBC6}">
      <formula1>"Air,Water,Soil,Stack,Coal,Biofuel,Other"</formula1>
    </dataValidation>
  </dataValidations>
  <printOptions horizontalCentered="1"/>
  <pageMargins left="0.31496062992125984" right="0.31496062992125984" top="0.74803149606299213" bottom="0.39370078740157483" header="0.31496062992125984" footer="0.31496062992125984"/>
  <pageSetup paperSize="9" scale="66" fitToHeight="0" orientation="landscape" r:id="rId1"/>
  <headerFooter>
    <oddFooter>&amp;L     Document No.:&amp;"-,Bold" SMJ/FRM/MKT/03&amp;R     Page &amp;"-,Bold"&amp;P&amp;"-,Regular" of &amp;"-,Bold"&amp;N    &amp;K00+000.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>
                  <from>
                    <xdr:col>14</xdr:col>
                    <xdr:colOff>28575</xdr:colOff>
                    <xdr:row>0</xdr:row>
                    <xdr:rowOff>0</xdr:rowOff>
                  </from>
                  <to>
                    <xdr:col>15</xdr:col>
                    <xdr:colOff>47625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15</xdr:col>
                    <xdr:colOff>38100</xdr:colOff>
                    <xdr:row>0</xdr:row>
                    <xdr:rowOff>0</xdr:rowOff>
                  </from>
                  <to>
                    <xdr:col>16</xdr:col>
                    <xdr:colOff>228600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16</xdr:col>
                    <xdr:colOff>219075</xdr:colOff>
                    <xdr:row>0</xdr:row>
                    <xdr:rowOff>0</xdr:rowOff>
                  </from>
                  <to>
                    <xdr:col>17</xdr:col>
                    <xdr:colOff>504825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17</xdr:col>
                    <xdr:colOff>504825</xdr:colOff>
                    <xdr:row>0</xdr:row>
                    <xdr:rowOff>0</xdr:rowOff>
                  </from>
                  <to>
                    <xdr:col>19</xdr:col>
                    <xdr:colOff>95250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defaultSize="0" autoFill="0" autoLine="0" autoPict="0">
                <anchor moveWithCells="1">
                  <from>
                    <xdr:col>19</xdr:col>
                    <xdr:colOff>85725</xdr:colOff>
                    <xdr:row>0</xdr:row>
                    <xdr:rowOff>0</xdr:rowOff>
                  </from>
                  <to>
                    <xdr:col>19</xdr:col>
                    <xdr:colOff>514350</xdr:colOff>
                    <xdr:row>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Jul</vt:lpstr>
      <vt:lpstr>Jul!Print_Area</vt:lpstr>
      <vt:lpstr>Jul!Print_Titles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</dc:creator>
  <cp:lastModifiedBy>Ikram</cp:lastModifiedBy>
  <cp:lastPrinted>2026-03-10T07:41:33Z</cp:lastPrinted>
  <dcterms:created xsi:type="dcterms:W3CDTF">2026-02-25T01:35:22Z</dcterms:created>
  <dcterms:modified xsi:type="dcterms:W3CDTF">2026-03-10T10:04:53Z</dcterms:modified>
</cp:coreProperties>
</file>
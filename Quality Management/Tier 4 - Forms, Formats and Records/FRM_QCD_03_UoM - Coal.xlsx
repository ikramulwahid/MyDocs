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kram\Desktop\Documents\Tier 4 - Forms, Formats and Records\"/>
    </mc:Choice>
  </mc:AlternateContent>
  <xr:revisionPtr revIDLastSave="0" documentId="13_ncr:1_{C50305C3-1561-4BC5-9044-AB9B06AF528E}" xr6:coauthVersionLast="47" xr6:coauthVersionMax="47" xr10:uidLastSave="{00000000-0000-0000-0000-000000000000}"/>
  <bookViews>
    <workbookView xWindow="-120" yWindow="-120" windowWidth="29040" windowHeight="15720" activeTab="3" xr2:uid="{A7DE9874-7088-418D-AF58-DEAA60E28AA0}"/>
  </bookViews>
  <sheets>
    <sheet name="Moisture Content" sheetId="2" r:id="rId1"/>
    <sheet name="Ash Content" sheetId="1" r:id="rId2"/>
    <sheet name="Volatile Matter" sheetId="3" r:id="rId3"/>
    <sheet name="Gross Calorific Valu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A32" i="4" l="1"/>
  <c r="DA35" i="4"/>
  <c r="DA34" i="4"/>
  <c r="DA33" i="4"/>
  <c r="DA31" i="4"/>
  <c r="DA30" i="4"/>
  <c r="DB15" i="4"/>
  <c r="CA16" i="4"/>
  <c r="CA17" i="4" s="1"/>
  <c r="CA18" i="4" s="1"/>
  <c r="CA19" i="4" s="1"/>
  <c r="CA20" i="4" s="1"/>
  <c r="CA21" i="4" s="1"/>
  <c r="CA22" i="4" s="1"/>
  <c r="CA23" i="4" s="1"/>
  <c r="DB23" i="4" s="1"/>
  <c r="CA15" i="4"/>
  <c r="DB14" i="4"/>
  <c r="DB19" i="4" l="1"/>
  <c r="DB16" i="4"/>
  <c r="DB20" i="4"/>
  <c r="DB17" i="4"/>
  <c r="DB21" i="4"/>
  <c r="DB18" i="4"/>
  <c r="DB22" i="4"/>
  <c r="CG57" i="4" l="1"/>
  <c r="CG49" i="4"/>
  <c r="BJ45" i="4"/>
  <c r="C43" i="4"/>
  <c r="DA29" i="4"/>
  <c r="C27" i="4"/>
  <c r="C14" i="4"/>
  <c r="E12" i="4"/>
  <c r="BJ11" i="4"/>
  <c r="E10" i="4"/>
  <c r="C9" i="4"/>
  <c r="BJ5" i="4"/>
  <c r="C5" i="4"/>
  <c r="BN3" i="4"/>
  <c r="CY1" i="4"/>
  <c r="DC23" i="1"/>
  <c r="DC22" i="1"/>
  <c r="DC21" i="1"/>
  <c r="DC20" i="1"/>
  <c r="DC19" i="1"/>
  <c r="DC18" i="1"/>
  <c r="DC17" i="1"/>
  <c r="DC16" i="1"/>
  <c r="DC15" i="1"/>
  <c r="DC14" i="1"/>
  <c r="DA33" i="3"/>
  <c r="DA32" i="2"/>
  <c r="CC32" i="2"/>
  <c r="BO32" i="2"/>
  <c r="DA31" i="2"/>
  <c r="CC31" i="2"/>
  <c r="BO31" i="2"/>
  <c r="DA32" i="3"/>
  <c r="DB25" i="4" l="1"/>
  <c r="DA28" i="4" s="1"/>
  <c r="DB24" i="4"/>
  <c r="CB39" i="4" l="1" a="1"/>
  <c r="CB39" i="4" s="1"/>
  <c r="BU43" i="4" s="1"/>
  <c r="CD62" i="4" s="1"/>
  <c r="CG50" i="4"/>
  <c r="CG56" i="3"/>
  <c r="CG48" i="3"/>
  <c r="CG47" i="3"/>
  <c r="C43" i="3"/>
  <c r="BJ44" i="3"/>
  <c r="DA34" i="3"/>
  <c r="CC34" i="3"/>
  <c r="BO34" i="3"/>
  <c r="DA31" i="3"/>
  <c r="CC31" i="3"/>
  <c r="BO31" i="3"/>
  <c r="DA30" i="3"/>
  <c r="CC30" i="3"/>
  <c r="BO30" i="3"/>
  <c r="DA29" i="3"/>
  <c r="CC29" i="3"/>
  <c r="BO29" i="3"/>
  <c r="CC28" i="3"/>
  <c r="BO28" i="3"/>
  <c r="C27" i="3"/>
  <c r="DB23" i="3"/>
  <c r="DB22" i="3"/>
  <c r="DB21" i="3"/>
  <c r="DB20" i="3"/>
  <c r="DB19" i="3"/>
  <c r="DB18" i="3"/>
  <c r="DB17" i="3"/>
  <c r="DB16" i="3"/>
  <c r="DB15" i="3"/>
  <c r="DB14" i="3"/>
  <c r="C14" i="3"/>
  <c r="E12" i="3"/>
  <c r="BJ11" i="3"/>
  <c r="E10" i="3"/>
  <c r="C9" i="3"/>
  <c r="BJ5" i="3"/>
  <c r="C5" i="3"/>
  <c r="BN3" i="3"/>
  <c r="CY1" i="3"/>
  <c r="DB23" i="2"/>
  <c r="DB22" i="2"/>
  <c r="DB21" i="2"/>
  <c r="DB20" i="2"/>
  <c r="DB19" i="2"/>
  <c r="DB18" i="2"/>
  <c r="DB17" i="2"/>
  <c r="DB16" i="2"/>
  <c r="DB15" i="2"/>
  <c r="DB14" i="2"/>
  <c r="CG51" i="4" l="1"/>
  <c r="CG53" i="4"/>
  <c r="CG56" i="4" s="1"/>
  <c r="DB25" i="3"/>
  <c r="CK28" i="3" s="1"/>
  <c r="DA28" i="3" s="1"/>
  <c r="DB24" i="3"/>
  <c r="CG49" i="3" s="1"/>
  <c r="BL59" i="4" l="1"/>
  <c r="CB38" i="3" a="1"/>
  <c r="CB38" i="3" s="1"/>
  <c r="BU42" i="3" s="1"/>
  <c r="CG56" i="2"/>
  <c r="CG48" i="2"/>
  <c r="CG47" i="2"/>
  <c r="C43" i="2"/>
  <c r="BJ44" i="2"/>
  <c r="DA34" i="2"/>
  <c r="DA33" i="2"/>
  <c r="DA30" i="2"/>
  <c r="CC30" i="2"/>
  <c r="BO30" i="2"/>
  <c r="DA29" i="2"/>
  <c r="CC29" i="2"/>
  <c r="BO29" i="2"/>
  <c r="CC28" i="2"/>
  <c r="BO28" i="2"/>
  <c r="C27" i="2"/>
  <c r="DB25" i="2"/>
  <c r="CK28" i="2" s="1"/>
  <c r="DA28" i="2" s="1"/>
  <c r="CB38" i="2" s="1" a="1"/>
  <c r="CB38" i="2" s="1"/>
  <c r="DB24" i="2"/>
  <c r="C14" i="2"/>
  <c r="E12" i="2"/>
  <c r="BJ11" i="2"/>
  <c r="E10" i="2"/>
  <c r="C9" i="2"/>
  <c r="BJ5" i="2"/>
  <c r="C5" i="2"/>
  <c r="BN3" i="2"/>
  <c r="CY1" i="2"/>
  <c r="BN3" i="1"/>
  <c r="CY1" i="1"/>
  <c r="C5" i="1"/>
  <c r="BJ5" i="1"/>
  <c r="C9" i="1"/>
  <c r="E10" i="1"/>
  <c r="BJ11" i="1"/>
  <c r="E12" i="1"/>
  <c r="C14" i="1"/>
  <c r="C27" i="1"/>
  <c r="BO28" i="1"/>
  <c r="CC28" i="1"/>
  <c r="BO29" i="1"/>
  <c r="CC29" i="1"/>
  <c r="DA29" i="1"/>
  <c r="BO30" i="1"/>
  <c r="CC30" i="1"/>
  <c r="DA30" i="1"/>
  <c r="BO31" i="1"/>
  <c r="CC31" i="1"/>
  <c r="DA31" i="1"/>
  <c r="BO32" i="1"/>
  <c r="CC32" i="1"/>
  <c r="DA32" i="1"/>
  <c r="BJ42" i="1"/>
  <c r="C43" i="1"/>
  <c r="CG45" i="1"/>
  <c r="CG46" i="1"/>
  <c r="CG54" i="1"/>
  <c r="CG52" i="3" l="1"/>
  <c r="CG55" i="3" s="1"/>
  <c r="CD61" i="3"/>
  <c r="CG50" i="3"/>
  <c r="CG49" i="2"/>
  <c r="CG50" i="2"/>
  <c r="BU42" i="2"/>
  <c r="CG52" i="2" s="1"/>
  <c r="CG55" i="2" s="1"/>
  <c r="DC24" i="1"/>
  <c r="CG47" i="1" s="1"/>
  <c r="DC25" i="1"/>
  <c r="BL58" i="3" l="1"/>
  <c r="CK28" i="1"/>
  <c r="DA28" i="1" s="1"/>
  <c r="CB36" i="1" s="1" a="1"/>
  <c r="CB36" i="1" s="1"/>
  <c r="BL58" i="2"/>
  <c r="CD61" i="2"/>
  <c r="CG48" i="1" l="1"/>
  <c r="BU40" i="1"/>
  <c r="CG50" i="1" s="1"/>
  <c r="CG53" i="1" s="1"/>
  <c r="CB59" i="1" l="1"/>
  <c r="BL5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<sst xmlns="http://schemas.openxmlformats.org/spreadsheetml/2006/main" count="590" uniqueCount="181">
  <si>
    <r>
      <t xml:space="preserve">Approved By
</t>
    </r>
    <r>
      <rPr>
        <b/>
        <sz val="8"/>
        <color theme="1"/>
        <rFont val="Aptos Narrow"/>
        <family val="2"/>
        <scheme val="minor"/>
      </rPr>
      <t>Laboratory Head</t>
    </r>
  </si>
  <si>
    <r>
      <t xml:space="preserve">Reviewed By
</t>
    </r>
    <r>
      <rPr>
        <b/>
        <sz val="8"/>
        <color theme="1"/>
        <rFont val="Aptos Narrow"/>
        <family val="2"/>
        <scheme val="minor"/>
      </rPr>
      <t>Quality Manager</t>
    </r>
  </si>
  <si>
    <r>
      <t xml:space="preserve">Prepared By
</t>
    </r>
    <r>
      <rPr>
        <b/>
        <sz val="8"/>
        <color theme="1"/>
        <rFont val="Aptos Narrow"/>
        <family val="2"/>
        <scheme val="minor"/>
      </rPr>
      <t>Technical Manager</t>
    </r>
  </si>
  <si>
    <t>Ash Content =</t>
  </si>
  <si>
    <t>Reported Result:</t>
  </si>
  <si>
    <t>Rectangular</t>
  </si>
  <si>
    <t>°C</t>
  </si>
  <si>
    <t>B</t>
  </si>
  <si>
    <t>Temperature fluctuation of the muffle furnace</t>
  </si>
  <si>
    <t>Furnace Temperature</t>
  </si>
  <si>
    <t>g</t>
  </si>
  <si>
    <t>Mass variation of crucibles after repeated heating cycles</t>
  </si>
  <si>
    <t>Crucible Stability</t>
  </si>
  <si>
    <t xml:space="preserve"> Laboratory Head</t>
  </si>
  <si>
    <t xml:space="preserve"> Responsible Officer</t>
  </si>
  <si>
    <t>Short-term drift of balance readings</t>
  </si>
  <si>
    <t>Weighing Drift</t>
  </si>
  <si>
    <t xml:space="preserve"> Date of Estimation</t>
  </si>
  <si>
    <t xml:space="preserve"> Final Ash Content ± U (%)</t>
  </si>
  <si>
    <t>Resolution limit of analytical balance</t>
  </si>
  <si>
    <t>Balance Readability</t>
  </si>
  <si>
    <t xml:space="preserve"> From Welch-Satterthwaite</t>
  </si>
  <si>
    <t xml:space="preserve"> Effective Degrees of Freedom</t>
  </si>
  <si>
    <t xml:space="preserve"> Normal</t>
  </si>
  <si>
    <t xml:space="preserve"> Distribution</t>
  </si>
  <si>
    <t>Normal</t>
  </si>
  <si>
    <t>%</t>
  </si>
  <si>
    <t>A</t>
  </si>
  <si>
    <t>Variation between replicate ash determinations</t>
  </si>
  <si>
    <t>Repeatability</t>
  </si>
  <si>
    <r>
      <t xml:space="preserve"> Expanded Uncertainty (U = k × u</t>
    </r>
    <r>
      <rPr>
        <vertAlign val="subscript"/>
        <sz val="9"/>
        <color theme="1"/>
        <rFont val="Aptos Narrow"/>
        <family val="2"/>
        <scheme val="minor"/>
      </rPr>
      <t>c</t>
    </r>
    <r>
      <rPr>
        <sz val="9"/>
        <color theme="1"/>
        <rFont val="Aptos Narrow"/>
        <family val="2"/>
        <scheme val="minor"/>
      </rPr>
      <t>)</t>
    </r>
  </si>
  <si>
    <t>Distribution</t>
  </si>
  <si>
    <t>Unit</t>
  </si>
  <si>
    <t>Type</t>
  </si>
  <si>
    <t>Source of Uncertainty</t>
  </si>
  <si>
    <t>Component</t>
  </si>
  <si>
    <r>
      <t xml:space="preserve"> 2 </t>
    </r>
    <r>
      <rPr>
        <sz val="9"/>
        <color theme="1"/>
        <rFont val="Aptos Narrow"/>
        <family val="2"/>
        <scheme val="minor"/>
      </rPr>
      <t>(for 95% confidence)</t>
    </r>
  </si>
  <si>
    <t xml:space="preserve"> Coverage Factor (k)</t>
  </si>
  <si>
    <r>
      <t xml:space="preserve"> Combined Standard Uncertainty (u</t>
    </r>
    <r>
      <rPr>
        <vertAlign val="subscript"/>
        <sz val="9"/>
        <color theme="1"/>
        <rFont val="Aptos Narrow"/>
        <family val="2"/>
        <scheme val="minor"/>
      </rPr>
      <t>c</t>
    </r>
    <r>
      <rPr>
        <sz val="9"/>
        <color theme="1"/>
        <rFont val="Aptos Narrow"/>
        <family val="2"/>
        <scheme val="minor"/>
      </rPr>
      <t>)</t>
    </r>
  </si>
  <si>
    <r>
      <t xml:space="preserve"> Mean </t>
    </r>
    <r>
      <rPr>
        <b/>
        <sz val="9"/>
        <color theme="1"/>
        <rFont val="Aptos Narrow"/>
        <family val="2"/>
        <scheme val="minor"/>
      </rPr>
      <t>Ash Content</t>
    </r>
  </si>
  <si>
    <t xml:space="preserve"> No. of Trials</t>
  </si>
  <si>
    <t xml:space="preserve"> Unit</t>
  </si>
  <si>
    <t xml:space="preserve"> Method</t>
  </si>
  <si>
    <r>
      <t xml:space="preserve">Based on the measurement process, equipment used, and the cause-and-effect (fishbone) analysis, the following sources were identified as contributing to the uncertainty in the determination of ash content in coal.
The repeatability component was evaluated using </t>
    </r>
    <r>
      <rPr>
        <b/>
        <sz val="9"/>
        <color theme="1"/>
        <rFont val="Aptos Narrow"/>
        <family val="2"/>
        <scheme val="minor"/>
      </rPr>
      <t>Type A statistical analysis</t>
    </r>
    <r>
      <rPr>
        <sz val="9"/>
        <color theme="1"/>
        <rFont val="Aptos Narrow"/>
        <family val="2"/>
        <scheme val="minor"/>
      </rPr>
      <t xml:space="preserve"> of replicate measurements, while the remaining components were evaluated using </t>
    </r>
    <r>
      <rPr>
        <b/>
        <sz val="9"/>
        <color theme="1"/>
        <rFont val="Aptos Narrow"/>
        <family val="2"/>
        <scheme val="minor"/>
      </rPr>
      <t>Type B</t>
    </r>
    <r>
      <rPr>
        <sz val="9"/>
        <color theme="1"/>
        <rFont val="Aptos Narrow"/>
        <family val="2"/>
        <scheme val="minor"/>
      </rPr>
      <t xml:space="preserve"> </t>
    </r>
    <r>
      <rPr>
        <b/>
        <sz val="9"/>
        <color theme="1"/>
        <rFont val="Aptos Narrow"/>
        <family val="2"/>
        <scheme val="minor"/>
      </rPr>
      <t>estimation</t>
    </r>
    <r>
      <rPr>
        <sz val="9"/>
        <color theme="1"/>
        <rFont val="Aptos Narrow"/>
        <family val="2"/>
        <scheme val="minor"/>
      </rPr>
      <t xml:space="preserve"> based on instrument specifications and laboratory experience.</t>
    </r>
  </si>
  <si>
    <t>Value</t>
  </si>
  <si>
    <t>Item</t>
  </si>
  <si>
    <t>Identification of Uncertainty Sources</t>
  </si>
  <si>
    <t>Final Uncertainty of Measurement Report</t>
  </si>
  <si>
    <r>
      <t>U = k×u</t>
    </r>
    <r>
      <rPr>
        <b/>
        <vertAlign val="subscript"/>
        <sz val="8.5"/>
        <color theme="1"/>
        <rFont val="Aptos Narrow"/>
        <family val="2"/>
        <scheme val="minor"/>
      </rPr>
      <t xml:space="preserve">c </t>
    </r>
    <r>
      <rPr>
        <b/>
        <sz val="8.5"/>
        <color theme="1"/>
        <rFont val="Aptos Narrow"/>
        <family val="2"/>
        <scheme val="minor"/>
      </rPr>
      <t xml:space="preserve">= </t>
    </r>
  </si>
  <si>
    <t>Calculated by applying a coverage factor (k) of 2, corresponding to an approximate confidence level of 95%</t>
  </si>
  <si>
    <t>7.4.</t>
  </si>
  <si>
    <t>Calculated using the root sum of squares (RSS) method:</t>
  </si>
  <si>
    <t>7.3.</t>
  </si>
  <si>
    <t>√3</t>
  </si>
  <si>
    <r>
      <t>Std. Uncertainty (u</t>
    </r>
    <r>
      <rPr>
        <b/>
        <vertAlign val="subscript"/>
        <sz val="9"/>
        <color theme="1"/>
        <rFont val="Aptos Narrow"/>
        <family val="2"/>
        <scheme val="minor"/>
      </rPr>
      <t>i</t>
    </r>
    <r>
      <rPr>
        <b/>
        <sz val="9"/>
        <color theme="1"/>
        <rFont val="Aptos Narrow"/>
        <family val="2"/>
        <scheme val="minor"/>
      </rPr>
      <t>)</t>
    </r>
  </si>
  <si>
    <t>Divisor</t>
  </si>
  <si>
    <t>Fishbone Diagram</t>
  </si>
  <si>
    <t>Uncertainty Budget</t>
  </si>
  <si>
    <t>7.2.</t>
  </si>
  <si>
    <t xml:space="preserve">Standard Deviation, S </t>
  </si>
  <si>
    <t xml:space="preserve">Average Ash Content, m̄ </t>
  </si>
  <si>
    <t>Sample 10</t>
  </si>
  <si>
    <t>Sample 9</t>
  </si>
  <si>
    <t>Sample 8</t>
  </si>
  <si>
    <t>Sample 7</t>
  </si>
  <si>
    <t>Sample 6</t>
  </si>
  <si>
    <t>Sample 5</t>
  </si>
  <si>
    <t>Sample 4</t>
  </si>
  <si>
    <t>Sample 3</t>
  </si>
  <si>
    <t>Sample 2</t>
  </si>
  <si>
    <t>Sample 1</t>
  </si>
  <si>
    <t>Flow Diagram</t>
  </si>
  <si>
    <t>Ash Content, %</t>
  </si>
  <si>
    <t>W₃</t>
  </si>
  <si>
    <t>W₂</t>
  </si>
  <si>
    <t>W₁</t>
  </si>
  <si>
    <t>Repeat Test</t>
  </si>
  <si>
    <t>Guide to the Expression of Uncertainty in Measurement (GUM or JCGM 100:2008)</t>
  </si>
  <si>
    <t>7.1.</t>
  </si>
  <si>
    <t>NABL-141 Guidance</t>
  </si>
  <si>
    <t>Quantification of Standard Uncertainty</t>
  </si>
  <si>
    <t>Coal and Coke - Methods of Test - Proximate Analysis</t>
  </si>
  <si>
    <t>IS 1350 (Part 1): 2025</t>
  </si>
  <si>
    <t>W₃ = Mass of crucible with ash after furnace treatment (g)</t>
  </si>
  <si>
    <t>Standard Method</t>
  </si>
  <si>
    <t>(W₂ - W₁)</t>
  </si>
  <si>
    <t>W₁ = Mass of empty crucible (g)</t>
  </si>
  <si>
    <t>Where :</t>
  </si>
  <si>
    <t>x 100</t>
  </si>
  <si>
    <t>Ash content, % =</t>
  </si>
  <si>
    <t>Ash content is calculated using the formula:</t>
  </si>
  <si>
    <t>To estimate and report the measurement uncertainty associated with the determination of ash content in coal, ensuring that the analytical results are reliable, traceable, and compliant with laboratory quality systems such as ISO/IEC 17025.</t>
  </si>
  <si>
    <t>Measurement Model</t>
  </si>
  <si>
    <t>Purpose</t>
  </si>
  <si>
    <t>UoM for determining Ash Content in Coal</t>
  </si>
  <si>
    <r>
      <t xml:space="preserve">Rev. No.: </t>
    </r>
    <r>
      <rPr>
        <b/>
        <sz val="9"/>
        <color theme="1"/>
        <rFont val="Aptos Narrow"/>
        <family val="2"/>
        <scheme val="minor"/>
      </rPr>
      <t>00</t>
    </r>
    <r>
      <rPr>
        <sz val="9"/>
        <color theme="1"/>
        <rFont val="Aptos Narrow"/>
        <family val="2"/>
        <scheme val="minor"/>
      </rPr>
      <t xml:space="preserve"> </t>
    </r>
    <r>
      <rPr>
        <sz val="9"/>
        <color theme="0"/>
        <rFont val="Aptos Narrow"/>
        <family val="2"/>
        <scheme val="minor"/>
      </rPr>
      <t>.</t>
    </r>
  </si>
  <si>
    <t>01.07.2024</t>
  </si>
  <si>
    <t>Effective Date:</t>
  </si>
  <si>
    <t>Uncertainty of Measurement (UoM)</t>
  </si>
  <si>
    <r>
      <t xml:space="preserve">Page </t>
    </r>
    <r>
      <rPr>
        <b/>
        <sz val="9"/>
        <color theme="1"/>
        <rFont val="Aptos Narrow"/>
        <family val="2"/>
        <scheme val="minor"/>
      </rPr>
      <t xml:space="preserve">2 </t>
    </r>
    <r>
      <rPr>
        <sz val="9"/>
        <color theme="1"/>
        <rFont val="Aptos Narrow"/>
        <family val="2"/>
        <scheme val="minor"/>
      </rPr>
      <t xml:space="preserve">of </t>
    </r>
    <r>
      <rPr>
        <b/>
        <sz val="9"/>
        <color theme="1"/>
        <rFont val="Aptos Narrow"/>
        <family val="2"/>
        <scheme val="minor"/>
      </rPr>
      <t xml:space="preserve"> 2</t>
    </r>
    <r>
      <rPr>
        <sz val="9"/>
        <color theme="1"/>
        <rFont val="Aptos Narrow"/>
        <family val="2"/>
        <scheme val="minor"/>
      </rPr>
      <t xml:space="preserve"> </t>
    </r>
    <r>
      <rPr>
        <sz val="9"/>
        <color theme="0"/>
        <rFont val="Aptos Narrow"/>
        <family val="2"/>
        <scheme val="minor"/>
      </rPr>
      <t>.</t>
    </r>
  </si>
  <si>
    <t>SMJ/FRM/QCD/03/02</t>
  </si>
  <si>
    <t>Document No.:</t>
  </si>
  <si>
    <t>SMJ Sustainable Fuel Lab Pvt. Ltd.</t>
  </si>
  <si>
    <r>
      <t xml:space="preserve">Page </t>
    </r>
    <r>
      <rPr>
        <b/>
        <sz val="9"/>
        <color theme="1"/>
        <rFont val="Aptos Narrow"/>
        <family val="2"/>
        <scheme val="minor"/>
      </rPr>
      <t xml:space="preserve">1 </t>
    </r>
    <r>
      <rPr>
        <sz val="9"/>
        <color theme="1"/>
        <rFont val="Aptos Narrow"/>
        <family val="2"/>
        <scheme val="minor"/>
      </rPr>
      <t xml:space="preserve">of </t>
    </r>
    <r>
      <rPr>
        <b/>
        <sz val="9"/>
        <color theme="1"/>
        <rFont val="Aptos Narrow"/>
        <family val="2"/>
        <scheme val="minor"/>
      </rPr>
      <t xml:space="preserve"> 2</t>
    </r>
    <r>
      <rPr>
        <sz val="9"/>
        <color theme="1"/>
        <rFont val="Aptos Narrow"/>
        <family val="2"/>
        <scheme val="minor"/>
      </rPr>
      <t xml:space="preserve"> </t>
    </r>
    <r>
      <rPr>
        <sz val="9"/>
        <color theme="0"/>
        <rFont val="Aptos Narrow"/>
        <family val="2"/>
        <scheme val="minor"/>
      </rPr>
      <t>.</t>
    </r>
  </si>
  <si>
    <t>UoM for determining Moisture Content in Coal</t>
  </si>
  <si>
    <t>To estimate and report the measurement uncertainty associated with the determination of moisture content in coal, ensuring that the analytical results are reliable, traceable, and compliant with laboratory quality systems such as ISO/IEC 17025.</t>
  </si>
  <si>
    <r>
      <t xml:space="preserve">Based on the measurement process, equipment used, and the cause-and-effect (fishbone) analysis, the following sources were identified as contributing to the uncertainty in the determination of moisture content in coal.
The repeatability component was evaluated using </t>
    </r>
    <r>
      <rPr>
        <b/>
        <sz val="9"/>
        <color theme="1"/>
        <rFont val="Aptos Narrow"/>
        <family val="2"/>
        <scheme val="minor"/>
      </rPr>
      <t>Type A statistical analysis</t>
    </r>
    <r>
      <rPr>
        <sz val="9"/>
        <color theme="1"/>
        <rFont val="Aptos Narrow"/>
        <family val="2"/>
        <scheme val="minor"/>
      </rPr>
      <t xml:space="preserve"> of replicate measurements, while the remaining components were evaluated using </t>
    </r>
    <r>
      <rPr>
        <b/>
        <sz val="9"/>
        <color theme="1"/>
        <rFont val="Aptos Narrow"/>
        <family val="2"/>
        <scheme val="minor"/>
      </rPr>
      <t>Type B</t>
    </r>
    <r>
      <rPr>
        <sz val="9"/>
        <color theme="1"/>
        <rFont val="Aptos Narrow"/>
        <family val="2"/>
        <scheme val="minor"/>
      </rPr>
      <t xml:space="preserve"> </t>
    </r>
    <r>
      <rPr>
        <b/>
        <sz val="9"/>
        <color theme="1"/>
        <rFont val="Aptos Narrow"/>
        <family val="2"/>
        <scheme val="minor"/>
      </rPr>
      <t>estimation</t>
    </r>
    <r>
      <rPr>
        <sz val="9"/>
        <color theme="1"/>
        <rFont val="Aptos Narrow"/>
        <family val="2"/>
        <scheme val="minor"/>
      </rPr>
      <t xml:space="preserve"> based on instrument specifications and laboratory experience.</t>
    </r>
  </si>
  <si>
    <t>Oven Temperature</t>
  </si>
  <si>
    <t>Temperature fluctuation of the drying oven</t>
  </si>
  <si>
    <t>Moisture content is calculated using the formula:</t>
  </si>
  <si>
    <t>Moisture content, % =</t>
  </si>
  <si>
    <t>(W₂ - W₃)</t>
  </si>
  <si>
    <t>W₁ = Mass of empty container (g)</t>
  </si>
  <si>
    <t>W₂ = Mass of container with sample before drying (g)</t>
  </si>
  <si>
    <t>W₃ = Mass of container with sample after drying (g)</t>
  </si>
  <si>
    <t xml:space="preserve">Average Moisture Content, m̄ </t>
  </si>
  <si>
    <t xml:space="preserve"> Oven Drying</t>
  </si>
  <si>
    <t>Moisture Content =</t>
  </si>
  <si>
    <r>
      <t xml:space="preserve"> Mean </t>
    </r>
    <r>
      <rPr>
        <b/>
        <sz val="9"/>
        <color theme="1"/>
        <rFont val="Aptos Narrow"/>
        <family val="2"/>
        <scheme val="minor"/>
      </rPr>
      <t>Moisture Content</t>
    </r>
  </si>
  <si>
    <t xml:space="preserve"> Final Moisture Content ± U (%)</t>
  </si>
  <si>
    <t>UoM for determining Volatile Matter in Coal</t>
  </si>
  <si>
    <t>SMJ/FRM/QCD/03/01</t>
  </si>
  <si>
    <t>SMJ/FRM/QCD/03/03</t>
  </si>
  <si>
    <t xml:space="preserve"> Muffle Furnace</t>
  </si>
  <si>
    <t>Moisture Content, %</t>
  </si>
  <si>
    <t>To estimate and report the measurement uncertainty associated with the determination of volatile matter in coal, ensuring that the analytical results are reliable, traceable, and compliant with laboratory quality systems such as ISO/IEC 17025.</t>
  </si>
  <si>
    <r>
      <t xml:space="preserve">Based on the measurement process, equipment used, and the cause-and-effect (fishbone) analysis, the following sources were identified as contributing to the uncertainty in the determination of volatile matter in coal.
The repeatability component was evaluated using </t>
    </r>
    <r>
      <rPr>
        <b/>
        <sz val="9"/>
        <color theme="1"/>
        <rFont val="Aptos Narrow"/>
        <family val="2"/>
        <scheme val="minor"/>
      </rPr>
      <t>Type A statistical analysis</t>
    </r>
    <r>
      <rPr>
        <sz val="9"/>
        <color theme="1"/>
        <rFont val="Aptos Narrow"/>
        <family val="2"/>
        <scheme val="minor"/>
      </rPr>
      <t xml:space="preserve"> of replicate measurements, while the remaining components were evaluated using </t>
    </r>
    <r>
      <rPr>
        <b/>
        <sz val="9"/>
        <color theme="1"/>
        <rFont val="Aptos Narrow"/>
        <family val="2"/>
        <scheme val="minor"/>
      </rPr>
      <t>Type B</t>
    </r>
    <r>
      <rPr>
        <sz val="9"/>
        <color theme="1"/>
        <rFont val="Aptos Narrow"/>
        <family val="2"/>
        <scheme val="minor"/>
      </rPr>
      <t xml:space="preserve"> </t>
    </r>
    <r>
      <rPr>
        <b/>
        <sz val="9"/>
        <color theme="1"/>
        <rFont val="Aptos Narrow"/>
        <family val="2"/>
        <scheme val="minor"/>
      </rPr>
      <t>estimation</t>
    </r>
    <r>
      <rPr>
        <sz val="9"/>
        <color theme="1"/>
        <rFont val="Aptos Narrow"/>
        <family val="2"/>
        <scheme val="minor"/>
      </rPr>
      <t xml:space="preserve"> based on instrument specifications and laboratory experience.</t>
    </r>
  </si>
  <si>
    <t>Volatile Matter is calculated using the formula:</t>
  </si>
  <si>
    <t>Volatile Matter, % =</t>
  </si>
  <si>
    <t>Crucible lid effect</t>
  </si>
  <si>
    <t>Volatile Matter, %</t>
  </si>
  <si>
    <t>W₂ = Mass of container with sample before heating (g)</t>
  </si>
  <si>
    <t>W₃ = Mass of container with sample after heating (g)</t>
  </si>
  <si>
    <t>Drying Time</t>
  </si>
  <si>
    <t>min</t>
  </si>
  <si>
    <t>Desiccator Efficiency</t>
  </si>
  <si>
    <t>Heating Time Control</t>
  </si>
  <si>
    <r>
      <t>u</t>
    </r>
    <r>
      <rPr>
        <b/>
        <vertAlign val="subscript"/>
        <sz val="8.5"/>
        <color theme="1"/>
        <rFont val="Aptos Narrow"/>
        <family val="2"/>
        <scheme val="minor"/>
      </rPr>
      <t>c</t>
    </r>
    <r>
      <rPr>
        <b/>
        <sz val="8.5"/>
        <color theme="1"/>
        <rFont val="Aptos Narrow"/>
        <family val="2"/>
        <scheme val="minor"/>
      </rPr>
      <t xml:space="preserve"> = </t>
    </r>
    <r>
      <rPr>
        <b/>
        <sz val="8.5"/>
        <color theme="1"/>
        <rFont val="Symbol"/>
        <family val="1"/>
        <charset val="2"/>
      </rPr>
      <t>Ö</t>
    </r>
    <r>
      <rPr>
        <b/>
        <sz val="8.5"/>
        <color theme="1"/>
        <rFont val="Aptos Narrow"/>
        <family val="2"/>
        <scheme val="minor"/>
      </rPr>
      <t>u</t>
    </r>
    <r>
      <rPr>
        <b/>
        <vertAlign val="subscript"/>
        <sz val="8.5"/>
        <color theme="1"/>
        <rFont val="Aptos Narrow"/>
        <family val="2"/>
        <scheme val="minor"/>
      </rPr>
      <t>1</t>
    </r>
    <r>
      <rPr>
        <b/>
        <vertAlign val="superscript"/>
        <sz val="8.5"/>
        <color theme="1"/>
        <rFont val="Aptos Narrow"/>
        <family val="2"/>
        <scheme val="minor"/>
      </rPr>
      <t>2</t>
    </r>
    <r>
      <rPr>
        <b/>
        <sz val="8.5"/>
        <color theme="1"/>
        <rFont val="Aptos Narrow"/>
        <family val="2"/>
        <scheme val="minor"/>
      </rPr>
      <t>+u</t>
    </r>
    <r>
      <rPr>
        <b/>
        <vertAlign val="subscript"/>
        <sz val="8.5"/>
        <color theme="1"/>
        <rFont val="Aptos Narrow"/>
        <family val="2"/>
        <scheme val="minor"/>
      </rPr>
      <t>2</t>
    </r>
    <r>
      <rPr>
        <b/>
        <vertAlign val="superscript"/>
        <sz val="8.5"/>
        <color theme="1"/>
        <rFont val="Aptos Narrow"/>
        <family val="2"/>
        <scheme val="minor"/>
      </rPr>
      <t>2</t>
    </r>
    <r>
      <rPr>
        <b/>
        <sz val="8.5"/>
        <color theme="1"/>
        <rFont val="Aptos Narrow"/>
        <family val="2"/>
        <scheme val="minor"/>
      </rPr>
      <t>+u</t>
    </r>
    <r>
      <rPr>
        <b/>
        <vertAlign val="subscript"/>
        <sz val="8.5"/>
        <color theme="1"/>
        <rFont val="Aptos Narrow"/>
        <family val="2"/>
        <scheme val="minor"/>
      </rPr>
      <t>3</t>
    </r>
    <r>
      <rPr>
        <b/>
        <vertAlign val="superscript"/>
        <sz val="8.5"/>
        <color theme="1"/>
        <rFont val="Aptos Narrow"/>
        <family val="2"/>
        <scheme val="minor"/>
      </rPr>
      <t>2</t>
    </r>
    <r>
      <rPr>
        <b/>
        <sz val="8.5"/>
        <color theme="1"/>
        <rFont val="Aptos Narrow"/>
        <family val="2"/>
        <scheme val="minor"/>
      </rPr>
      <t>+…+ u</t>
    </r>
    <r>
      <rPr>
        <b/>
        <vertAlign val="subscript"/>
        <sz val="8.5"/>
        <color theme="1"/>
        <rFont val="Aptos Narrow"/>
        <family val="2"/>
        <scheme val="minor"/>
      </rPr>
      <t>i</t>
    </r>
    <r>
      <rPr>
        <b/>
        <vertAlign val="superscript"/>
        <sz val="8.5"/>
        <color theme="1"/>
        <rFont val="Aptos Narrow"/>
        <family val="2"/>
        <scheme val="minor"/>
      </rPr>
      <t>2</t>
    </r>
    <r>
      <rPr>
        <b/>
        <sz val="8.5"/>
        <color theme="1"/>
        <rFont val="Aptos Narrow"/>
        <family val="2"/>
        <scheme val="minor"/>
      </rPr>
      <t xml:space="preserve">  =</t>
    </r>
  </si>
  <si>
    <r>
      <t>Combined Standard Uncertainty (u</t>
    </r>
    <r>
      <rPr>
        <b/>
        <vertAlign val="subscript"/>
        <sz val="9"/>
        <color theme="1"/>
        <rFont val="Aptos Narrow"/>
        <family val="2"/>
        <scheme val="minor"/>
      </rPr>
      <t>c</t>
    </r>
    <r>
      <rPr>
        <b/>
        <sz val="9"/>
        <color theme="1"/>
        <rFont val="Aptos Narrow"/>
        <family val="2"/>
        <scheme val="minor"/>
      </rPr>
      <t>)</t>
    </r>
  </si>
  <si>
    <t>Expanded Uncertainty (U)</t>
  </si>
  <si>
    <t>W₂ = Mass of crucible with ash before furnace treatment (g)</t>
  </si>
  <si>
    <r>
      <t>W</t>
    </r>
    <r>
      <rPr>
        <sz val="7"/>
        <color rgb="FF000000"/>
        <rFont val="Aptos Narrow"/>
        <family val="2"/>
      </rPr>
      <t>₄</t>
    </r>
    <r>
      <rPr>
        <sz val="7"/>
        <color rgb="FF000000"/>
        <rFont val="Aptos Narrow"/>
        <family val="2"/>
        <scheme val="minor"/>
      </rPr>
      <t xml:space="preserve"> = Mass of crucible with ash after brushing out the ash (g)</t>
    </r>
  </si>
  <si>
    <r>
      <t>(W₃ - W</t>
    </r>
    <r>
      <rPr>
        <b/>
        <sz val="9"/>
        <color theme="1"/>
        <rFont val="Aptos Narrow"/>
        <family val="2"/>
      </rPr>
      <t>₄</t>
    </r>
    <r>
      <rPr>
        <b/>
        <sz val="9"/>
        <color theme="1"/>
        <rFont val="Aptos Narrow"/>
        <family val="2"/>
        <scheme val="minor"/>
      </rPr>
      <t>)</t>
    </r>
  </si>
  <si>
    <t>W₄</t>
  </si>
  <si>
    <t>UoM for determining Gross Calorific Value of Coal</t>
  </si>
  <si>
    <t>To estimate and report the measurement uncertainty associated with the determination of gross calorific value in coal, ensuring that the analytical results are reliable, traceable, and compliant with laboratory quality systems such as ISO/IEC 17025.</t>
  </si>
  <si>
    <t>IS 1350 (Part 2): 2022</t>
  </si>
  <si>
    <r>
      <t xml:space="preserve">Based on the measurement process, equipment used, and the cause-and-effect (fishbone) analysis, the following sources were identified as contributing to the uncertainty in the determination of gross calorific value in coal.
The repeatability component was evaluated using </t>
    </r>
    <r>
      <rPr>
        <b/>
        <sz val="9"/>
        <color theme="1"/>
        <rFont val="Aptos Narrow"/>
        <family val="2"/>
        <scheme val="minor"/>
      </rPr>
      <t>Type A statistical analysis</t>
    </r>
    <r>
      <rPr>
        <sz val="9"/>
        <color theme="1"/>
        <rFont val="Aptos Narrow"/>
        <family val="2"/>
        <scheme val="minor"/>
      </rPr>
      <t xml:space="preserve"> of replicate measurements, while the remaining components were evaluated using </t>
    </r>
    <r>
      <rPr>
        <b/>
        <sz val="9"/>
        <color theme="1"/>
        <rFont val="Aptos Narrow"/>
        <family val="2"/>
        <scheme val="minor"/>
      </rPr>
      <t>Type B</t>
    </r>
    <r>
      <rPr>
        <sz val="9"/>
        <color theme="1"/>
        <rFont val="Aptos Narrow"/>
        <family val="2"/>
        <scheme val="minor"/>
      </rPr>
      <t xml:space="preserve"> </t>
    </r>
    <r>
      <rPr>
        <b/>
        <sz val="9"/>
        <color theme="1"/>
        <rFont val="Aptos Narrow"/>
        <family val="2"/>
        <scheme val="minor"/>
      </rPr>
      <t>estimation</t>
    </r>
    <r>
      <rPr>
        <sz val="9"/>
        <color theme="1"/>
        <rFont val="Aptos Narrow"/>
        <family val="2"/>
        <scheme val="minor"/>
      </rPr>
      <t xml:space="preserve"> based on instrument specifications and laboratory experience.</t>
    </r>
  </si>
  <si>
    <r>
      <t xml:space="preserve">(W x </t>
    </r>
    <r>
      <rPr>
        <b/>
        <sz val="9"/>
        <color theme="1"/>
        <rFont val="Aptos Narrow"/>
        <family val="2"/>
      </rPr>
      <t>∆T</t>
    </r>
    <r>
      <rPr>
        <b/>
        <sz val="9"/>
        <color theme="1"/>
        <rFont val="Aptos Narrow"/>
        <family val="2"/>
        <scheme val="minor"/>
      </rPr>
      <t>) - e</t>
    </r>
    <r>
      <rPr>
        <b/>
        <vertAlign val="subscript"/>
        <sz val="9"/>
        <color theme="1"/>
        <rFont val="Aptos Narrow"/>
        <family val="2"/>
        <scheme val="minor"/>
      </rPr>
      <t>corr</t>
    </r>
  </si>
  <si>
    <t>m</t>
  </si>
  <si>
    <t>Gross Calorific Value, cal/g =</t>
  </si>
  <si>
    <t>W = Water equivalent of calorimeter, cal/°C</t>
  </si>
  <si>
    <t>∆T = Corrected temperature rise, °C</t>
  </si>
  <si>
    <t>m = Mass of sample, g</t>
  </si>
  <si>
    <r>
      <t>e</t>
    </r>
    <r>
      <rPr>
        <vertAlign val="subscript"/>
        <sz val="7"/>
        <color rgb="FF000000"/>
        <rFont val="Aptos Narrow"/>
        <family val="2"/>
        <scheme val="minor"/>
      </rPr>
      <t>corr</t>
    </r>
    <r>
      <rPr>
        <sz val="7"/>
        <color rgb="FF000000"/>
        <rFont val="Aptos Narrow"/>
        <family val="2"/>
        <scheme val="minor"/>
      </rPr>
      <t xml:space="preserve"> = (Fuse wire + acid + cotton thread) correction, cal</t>
    </r>
  </si>
  <si>
    <r>
      <t>e</t>
    </r>
    <r>
      <rPr>
        <vertAlign val="subscript"/>
        <sz val="9"/>
        <color theme="1"/>
        <rFont val="Aptos Narrow"/>
        <family val="2"/>
        <scheme val="minor"/>
      </rPr>
      <t>corr</t>
    </r>
    <r>
      <rPr>
        <sz val="9"/>
        <color theme="1"/>
        <rFont val="Aptos Narrow"/>
        <family val="2"/>
        <scheme val="minor"/>
      </rPr>
      <t xml:space="preserve"> = 22.4 cal</t>
    </r>
  </si>
  <si>
    <t>W</t>
  </si>
  <si>
    <t>∆T</t>
  </si>
  <si>
    <t>Gross Calorific Value is calculated using the formula:</t>
  </si>
  <si>
    <t>GCV, %</t>
  </si>
  <si>
    <r>
      <t xml:space="preserve"> Mean </t>
    </r>
    <r>
      <rPr>
        <b/>
        <sz val="9"/>
        <color theme="1"/>
        <rFont val="Aptos Narrow"/>
        <family val="2"/>
        <scheme val="minor"/>
      </rPr>
      <t>Gross Calorific Value</t>
    </r>
  </si>
  <si>
    <t>cal/g</t>
  </si>
  <si>
    <t xml:space="preserve"> Final Gross Calorific Value ± U (cal/g)</t>
  </si>
  <si>
    <t>Variation between replicate measurements</t>
  </si>
  <si>
    <t>kcal/kg</t>
  </si>
  <si>
    <t>Balance resolution limit</t>
  </si>
  <si>
    <t>Balance stability over time</t>
  </si>
  <si>
    <t>Temperature Measurement</t>
  </si>
  <si>
    <t>Thermometer accuracy</t>
  </si>
  <si>
    <t>Water Equivalent</t>
  </si>
  <si>
    <t>Calorimeter constant calibration</t>
  </si>
  <si>
    <t>cal/°C</t>
  </si>
  <si>
    <t>Fuse Wire Correction</t>
  </si>
  <si>
    <t>Heat from fuse wire</t>
  </si>
  <si>
    <t>cal</t>
  </si>
  <si>
    <t>Acid Correction</t>
  </si>
  <si>
    <t>Heat from acid formation</t>
  </si>
  <si>
    <t>Cotton Thread</t>
  </si>
  <si>
    <t>Heat from ignition thread</t>
  </si>
  <si>
    <t>Sample Homogeneity</t>
  </si>
  <si>
    <t>Coal composition variation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</si>
</sst>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00000"/>
    <numFmt numFmtId="165" formatCode="0.000"/>
    <numFmt numFmtId="166" formatCode="00.0000000"/>
    <numFmt numFmtId="167" formatCode="0.00000"/>
    <numFmt numFmtId="168" formatCode="0.0000"/>
  </numFmts>
  <fonts count="18" x14ac:knownFonts="1">
    <font>
      <sz val="11"/>
      <color theme="1"/>
      <name val="Aptos Narrow"/>
      <family val="2"/>
      <scheme val="minor"/>
    </font>
    <font>
      <sz val="9"/>
      <color theme="1"/>
      <name val="Aptos Narrow"/>
      <family val="2"/>
      <scheme val="minor"/>
    </font>
    <font>
      <b/>
      <sz val="8"/>
      <color theme="1"/>
      <name val="Aptos Narrow"/>
      <family val="2"/>
      <scheme val="minor"/>
    </font>
    <font>
      <b/>
      <sz val="9"/>
      <color theme="1"/>
      <name val="Aptos Narrow"/>
      <family val="2"/>
      <scheme val="minor"/>
    </font>
    <font>
      <vertAlign val="subscript"/>
      <sz val="9"/>
      <color theme="1"/>
      <name val="Aptos Narrow"/>
      <family val="2"/>
      <scheme val="minor"/>
    </font>
    <font>
      <b/>
      <sz val="10"/>
      <color theme="1"/>
      <name val="Aptos Narrow"/>
      <family val="2"/>
      <scheme val="minor"/>
    </font>
    <font>
      <b/>
      <sz val="8.5"/>
      <color theme="1"/>
      <name val="Aptos Narrow"/>
      <family val="2"/>
      <scheme val="minor"/>
    </font>
    <font>
      <b/>
      <vertAlign val="subscript"/>
      <sz val="8.5"/>
      <color theme="1"/>
      <name val="Aptos Narrow"/>
      <family val="2"/>
      <scheme val="minor"/>
    </font>
    <font>
      <b/>
      <sz val="8.5"/>
      <color theme="1"/>
      <name val="Symbol"/>
      <family val="1"/>
      <charset val="2"/>
    </font>
    <font>
      <b/>
      <vertAlign val="superscript"/>
      <sz val="8.5"/>
      <color theme="1"/>
      <name val="Aptos Narrow"/>
      <family val="2"/>
      <scheme val="minor"/>
    </font>
    <font>
      <b/>
      <vertAlign val="subscript"/>
      <sz val="9"/>
      <color theme="1"/>
      <name val="Aptos Narrow"/>
      <family val="2"/>
      <scheme val="minor"/>
    </font>
    <font>
      <sz val="7"/>
      <color rgb="FF000000"/>
      <name val="Aptos Narrow"/>
      <family val="2"/>
      <scheme val="minor"/>
    </font>
    <font>
      <sz val="7"/>
      <color theme="1"/>
      <name val="Aptos Narrow"/>
      <family val="2"/>
      <scheme val="minor"/>
    </font>
    <font>
      <sz val="9"/>
      <color theme="0"/>
      <name val="Aptos Narrow"/>
      <family val="2"/>
      <scheme val="minor"/>
    </font>
    <font>
      <sz val="8"/>
      <color theme="1"/>
      <name val="Aptos Narrow"/>
      <family val="2"/>
      <scheme val="minor"/>
    </font>
    <font>
      <sz val="7"/>
      <color rgb="FF000000"/>
      <name val="Aptos Narrow"/>
      <family val="2"/>
    </font>
    <font>
      <b/>
      <sz val="9"/>
      <color theme="1"/>
      <name val="Aptos Narrow"/>
      <family val="2"/>
    </font>
    <font>
      <vertAlign val="subscript"/>
      <sz val="7"/>
      <color rgb="FF000000"/>
      <name val="Aptos Narrow"/>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s>
  <cellStyleXfs count="1">
    <xf numFmtId="0" fontId="0" fillId="0" borderId="0"/>
  </cellStyleXfs>
  <cellXfs count="110">
    <xf numFmtId="0" fontId="0" fillId="0" borderId="0" xfId="0"/>
    <xf numFmtId="0" fontId="1" fillId="0" borderId="0" xfId="0" applyFont="1"/>
    <xf numFmtId="0" fontId="1" fillId="0" borderId="1" xfId="0" applyFont="1" applyBorder="1"/>
    <xf numFmtId="0" fontId="1" fillId="0" borderId="0" xfId="0" applyFont="1" applyAlignment="1">
      <alignment vertical="top" wrapText="1"/>
    </xf>
    <xf numFmtId="0" fontId="1" fillId="0" borderId="0" xfId="0" applyFont="1" applyAlignment="1">
      <alignment horizontal="left" vertical="top"/>
    </xf>
    <xf numFmtId="0" fontId="1" fillId="0" borderId="2" xfId="0" applyFont="1" applyBorder="1" applyAlignment="1">
      <alignment vertical="center"/>
    </xf>
    <xf numFmtId="0" fontId="6" fillId="0" borderId="0" xfId="0" applyFont="1" applyAlignment="1">
      <alignment horizontal="right"/>
    </xf>
    <xf numFmtId="0" fontId="6" fillId="0" borderId="0" xfId="0" applyFont="1" applyAlignment="1">
      <alignment vertical="top"/>
    </xf>
    <xf numFmtId="165" fontId="3" fillId="0" borderId="0" xfId="0" applyNumberFormat="1" applyFont="1"/>
    <xf numFmtId="0" fontId="6" fillId="0" borderId="0" xfId="0" applyFont="1" applyAlignment="1">
      <alignment horizontal="right" vertical="top"/>
    </xf>
    <xf numFmtId="0" fontId="11" fillId="0" borderId="0" xfId="0" applyFont="1"/>
    <xf numFmtId="0" fontId="12" fillId="0" borderId="0" xfId="0" applyFont="1"/>
    <xf numFmtId="0" fontId="3" fillId="0" borderId="0" xfId="0" applyFont="1" applyAlignment="1">
      <alignment horizontal="left" vertical="center"/>
    </xf>
    <xf numFmtId="0" fontId="3" fillId="0" borderId="0" xfId="0" applyFont="1" applyAlignment="1">
      <alignment horizontal="center" vertical="top"/>
    </xf>
    <xf numFmtId="0" fontId="3" fillId="0" borderId="0" xfId="0" applyFont="1" applyAlignment="1">
      <alignment horizontal="right" vertical="center"/>
    </xf>
    <xf numFmtId="0" fontId="3" fillId="0" borderId="0" xfId="0" applyFont="1"/>
    <xf numFmtId="0" fontId="1" fillId="0" borderId="0" xfId="0" applyFont="1" applyAlignment="1">
      <alignment horizontal="right"/>
    </xf>
    <xf numFmtId="0" fontId="11" fillId="0" borderId="0" xfId="0" applyFont="1" applyAlignment="1"/>
    <xf numFmtId="0" fontId="6" fillId="0" borderId="2" xfId="0" applyFont="1" applyBorder="1" applyAlignment="1">
      <alignment vertical="top"/>
    </xf>
    <xf numFmtId="0" fontId="1" fillId="0" borderId="2" xfId="0" applyFont="1" applyBorder="1"/>
    <xf numFmtId="0" fontId="6" fillId="0" borderId="0" xfId="0" applyFont="1" applyBorder="1" applyAlignment="1">
      <alignment vertical="top"/>
    </xf>
    <xf numFmtId="0" fontId="1" fillId="0" borderId="0" xfId="0" applyFont="1" applyBorder="1"/>
    <xf numFmtId="0" fontId="1" fillId="0" borderId="0" xfId="0" applyFont="1" applyBorder="1" applyAlignment="1">
      <alignment vertical="center"/>
    </xf>
    <xf numFmtId="164" fontId="1" fillId="0" borderId="6" xfId="0" applyNumberFormat="1" applyFont="1" applyBorder="1"/>
    <xf numFmtId="0" fontId="1" fillId="0" borderId="5" xfId="0" applyFont="1" applyBorder="1"/>
    <xf numFmtId="0" fontId="1" fillId="0" borderId="4" xfId="0" applyFont="1" applyBorder="1"/>
    <xf numFmtId="0" fontId="1" fillId="0" borderId="6"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166" fontId="1" fillId="0" borderId="6" xfId="0" applyNumberFormat="1" applyFont="1" applyBorder="1" applyAlignment="1">
      <alignment horizontal="center"/>
    </xf>
    <xf numFmtId="166" fontId="1" fillId="0" borderId="5" xfId="0" applyNumberFormat="1" applyFont="1" applyBorder="1" applyAlignment="1">
      <alignment horizontal="center"/>
    </xf>
    <xf numFmtId="166" fontId="1" fillId="0" borderId="4" xfId="0" applyNumberFormat="1" applyFont="1" applyBorder="1" applyAlignment="1">
      <alignment horizontal="center"/>
    </xf>
    <xf numFmtId="165" fontId="3" fillId="0" borderId="0" xfId="0" applyNumberFormat="1" applyFont="1" applyAlignment="1">
      <alignment horizontal="left"/>
    </xf>
    <xf numFmtId="0" fontId="1" fillId="0" borderId="0" xfId="0" applyFont="1" applyAlignment="1">
      <alignment horizontal="left" vertical="top" wrapText="1"/>
    </xf>
    <xf numFmtId="0" fontId="1" fillId="0" borderId="0" xfId="0" applyFont="1" applyAlignment="1">
      <alignment horizontal="left" vertical="top"/>
    </xf>
    <xf numFmtId="0" fontId="3" fillId="0" borderId="0" xfId="0" applyFont="1" applyAlignment="1">
      <alignment horizontal="right" vertical="center"/>
    </xf>
    <xf numFmtId="0" fontId="1" fillId="0" borderId="0" xfId="0" applyFont="1" applyAlignment="1">
      <alignment horizontal="right" vertical="top" wrapText="1"/>
    </xf>
    <xf numFmtId="0" fontId="3" fillId="0" borderId="0" xfId="0" applyFont="1" applyAlignment="1">
      <alignment vertical="top" wrapText="1"/>
    </xf>
    <xf numFmtId="165" fontId="3" fillId="0" borderId="0" xfId="0" applyNumberFormat="1" applyFont="1" applyAlignment="1">
      <alignment horizontal="left" vertical="top" wrapText="1"/>
    </xf>
    <xf numFmtId="0" fontId="3" fillId="0" borderId="0" xfId="0" applyFont="1" applyAlignment="1">
      <alignment horizontal="left" vertical="top" wrapText="1"/>
    </xf>
    <xf numFmtId="164" fontId="1" fillId="0" borderId="3" xfId="0" applyNumberFormat="1" applyFont="1" applyBorder="1" applyAlignment="1">
      <alignment horizontal="left" vertical="center"/>
    </xf>
    <xf numFmtId="0" fontId="1" fillId="0" borderId="3" xfId="0" applyFont="1" applyBorder="1" applyAlignment="1">
      <alignment horizontal="left" vertical="center" wrapText="1"/>
    </xf>
    <xf numFmtId="0" fontId="1" fillId="0" borderId="3" xfId="0" applyFont="1" applyBorder="1" applyAlignment="1">
      <alignment horizontal="center" vertical="center"/>
    </xf>
    <xf numFmtId="0" fontId="1" fillId="0" borderId="3" xfId="0" applyFont="1" applyBorder="1" applyAlignment="1">
      <alignment horizontal="left" vertical="center"/>
    </xf>
    <xf numFmtId="14" fontId="3" fillId="0" borderId="3" xfId="0" applyNumberFormat="1" applyFont="1" applyBorder="1" applyAlignment="1">
      <alignment horizontal="left" vertical="center"/>
    </xf>
    <xf numFmtId="0" fontId="3" fillId="0" borderId="3" xfId="0" applyFont="1" applyBorder="1" applyAlignment="1">
      <alignment horizontal="left" vertical="center"/>
    </xf>
    <xf numFmtId="0" fontId="1" fillId="0" borderId="2" xfId="0" applyFont="1" applyBorder="1" applyAlignment="1">
      <alignment horizontal="justify" vertical="top" wrapText="1"/>
    </xf>
    <xf numFmtId="0" fontId="1" fillId="0" borderId="0" xfId="0" applyFont="1" applyAlignment="1">
      <alignment horizontal="justify" vertical="top" wrapText="1"/>
    </xf>
    <xf numFmtId="164" fontId="3" fillId="2" borderId="3" xfId="0" applyNumberFormat="1" applyFont="1" applyFill="1" applyBorder="1" applyAlignment="1">
      <alignment horizontal="center"/>
    </xf>
    <xf numFmtId="0" fontId="3" fillId="2" borderId="3" xfId="0" applyFont="1" applyFill="1" applyBorder="1" applyAlignment="1">
      <alignment horizontal="center"/>
    </xf>
    <xf numFmtId="0" fontId="1" fillId="0" borderId="1" xfId="0" applyFont="1" applyBorder="1" applyAlignment="1">
      <alignment horizontal="justify" vertical="top" wrapText="1"/>
    </xf>
    <xf numFmtId="0" fontId="1" fillId="0" borderId="0" xfId="0" applyFont="1"/>
    <xf numFmtId="0" fontId="5" fillId="0" borderId="0" xfId="0" applyFont="1" applyAlignment="1">
      <alignment horizontal="left" vertical="top"/>
    </xf>
    <xf numFmtId="0" fontId="3" fillId="0" borderId="0" xfId="0" applyFont="1"/>
    <xf numFmtId="0" fontId="3" fillId="2" borderId="6" xfId="0" applyFont="1" applyFill="1" applyBorder="1" applyAlignment="1">
      <alignment horizontal="center"/>
    </xf>
    <xf numFmtId="0" fontId="3" fillId="2" borderId="5" xfId="0" applyFont="1" applyFill="1" applyBorder="1" applyAlignment="1">
      <alignment horizontal="center"/>
    </xf>
    <xf numFmtId="0" fontId="3" fillId="2" borderId="4" xfId="0" applyFont="1" applyFill="1" applyBorder="1" applyAlignment="1">
      <alignment horizontal="center"/>
    </xf>
    <xf numFmtId="167" fontId="1" fillId="0" borderId="6" xfId="0" applyNumberFormat="1" applyFont="1" applyBorder="1" applyAlignment="1">
      <alignment horizontal="center"/>
    </xf>
    <xf numFmtId="167" fontId="1" fillId="0" borderId="5" xfId="0" applyNumberFormat="1" applyFont="1" applyBorder="1" applyAlignment="1">
      <alignment horizontal="center"/>
    </xf>
    <xf numFmtId="167" fontId="1" fillId="0" borderId="4" xfId="0" applyNumberFormat="1" applyFont="1" applyBorder="1" applyAlignment="1">
      <alignment horizontal="center"/>
    </xf>
    <xf numFmtId="0" fontId="5" fillId="0" borderId="0" xfId="0" applyFont="1" applyAlignment="1">
      <alignment horizontal="center" vertical="center"/>
    </xf>
    <xf numFmtId="0" fontId="5" fillId="0" borderId="0" xfId="0" applyFont="1" applyAlignment="1">
      <alignment horizontal="left" vertical="center"/>
    </xf>
    <xf numFmtId="0" fontId="3" fillId="0" borderId="2" xfId="0" applyFont="1" applyBorder="1" applyAlignment="1">
      <alignment horizontal="right"/>
    </xf>
    <xf numFmtId="0" fontId="3" fillId="0" borderId="8" xfId="0" applyFont="1" applyBorder="1" applyAlignment="1">
      <alignment horizontal="right"/>
    </xf>
    <xf numFmtId="165" fontId="3" fillId="0" borderId="3" xfId="0" applyNumberFormat="1" applyFont="1" applyBorder="1" applyAlignment="1">
      <alignment horizontal="center"/>
    </xf>
    <xf numFmtId="0" fontId="3" fillId="0" borderId="0" xfId="0" applyFont="1" applyAlignment="1">
      <alignment horizontal="right"/>
    </xf>
    <xf numFmtId="0" fontId="3" fillId="0" borderId="7" xfId="0" applyFont="1" applyBorder="1" applyAlignment="1">
      <alignment horizontal="right"/>
    </xf>
    <xf numFmtId="0" fontId="3" fillId="0" borderId="3" xfId="0" applyFont="1" applyBorder="1" applyAlignment="1">
      <alignment horizontal="center"/>
    </xf>
    <xf numFmtId="0" fontId="1" fillId="0" borderId="3" xfId="0" applyFont="1" applyBorder="1" applyAlignment="1">
      <alignment horizontal="center"/>
    </xf>
    <xf numFmtId="168" fontId="1" fillId="0" borderId="3" xfId="0" applyNumberFormat="1" applyFont="1" applyBorder="1" applyAlignment="1">
      <alignment horizontal="center"/>
    </xf>
    <xf numFmtId="0" fontId="1" fillId="0" borderId="0" xfId="0" applyFont="1" applyAlignment="1">
      <alignment horizontal="left"/>
    </xf>
    <xf numFmtId="0" fontId="3" fillId="0" borderId="0" xfId="0" applyFont="1" applyAlignment="1">
      <alignment horizontal="left" vertical="top"/>
    </xf>
    <xf numFmtId="0" fontId="3" fillId="0" borderId="0" xfId="0" applyFont="1" applyAlignment="1">
      <alignment horizontal="center" vertical="top"/>
    </xf>
    <xf numFmtId="0" fontId="3" fillId="0" borderId="1" xfId="0" applyFont="1" applyBorder="1" applyAlignment="1">
      <alignment horizontal="center"/>
    </xf>
    <xf numFmtId="0" fontId="3" fillId="0" borderId="0" xfId="0" applyFont="1" applyAlignment="1">
      <alignment horizontal="left" vertical="center"/>
    </xf>
    <xf numFmtId="0" fontId="12" fillId="0" borderId="0" xfId="0" applyFont="1" applyAlignment="1">
      <alignment horizontal="right"/>
    </xf>
    <xf numFmtId="0" fontId="3" fillId="0" borderId="1" xfId="0" applyFont="1" applyBorder="1" applyAlignment="1">
      <alignment horizontal="left"/>
    </xf>
    <xf numFmtId="0" fontId="1" fillId="0" borderId="0" xfId="0" applyFont="1" applyAlignment="1">
      <alignment horizontal="right"/>
    </xf>
    <xf numFmtId="0" fontId="14" fillId="0" borderId="0" xfId="0" applyFont="1" applyAlignment="1">
      <alignment horizontal="left" vertical="top"/>
    </xf>
    <xf numFmtId="0" fontId="3" fillId="0" borderId="6"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168" fontId="1" fillId="0" borderId="6" xfId="0" applyNumberFormat="1" applyFont="1" applyBorder="1" applyAlignment="1">
      <alignment horizontal="center"/>
    </xf>
    <xf numFmtId="168" fontId="1" fillId="0" borderId="5" xfId="0" applyNumberFormat="1" applyFont="1" applyBorder="1" applyAlignment="1">
      <alignment horizontal="center"/>
    </xf>
    <xf numFmtId="168" fontId="1" fillId="0" borderId="4" xfId="0" applyNumberFormat="1" applyFont="1" applyBorder="1" applyAlignment="1">
      <alignment horizontal="center"/>
    </xf>
    <xf numFmtId="0" fontId="3" fillId="0" borderId="0" xfId="0" applyFont="1" applyBorder="1" applyAlignment="1">
      <alignment horizontal="center"/>
    </xf>
    <xf numFmtId="0" fontId="3" fillId="0" borderId="7" xfId="0" applyFont="1" applyBorder="1" applyAlignment="1">
      <alignment horizontal="center"/>
    </xf>
    <xf numFmtId="0" fontId="3" fillId="0" borderId="0" xfId="0" applyFont="1" applyAlignment="1">
      <alignment horizontal="center"/>
    </xf>
    <xf numFmtId="0" fontId="11" fillId="0" borderId="0" xfId="0" applyFont="1"/>
    <xf numFmtId="0" fontId="11" fillId="0" borderId="0" xfId="0" applyFont="1" applyAlignment="1"/>
    <xf numFmtId="0" fontId="3" fillId="0" borderId="2" xfId="0" applyFont="1" applyBorder="1" applyAlignment="1">
      <alignment horizontal="center" vertical="top"/>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164" fontId="1" fillId="0" borderId="6" xfId="0" applyNumberFormat="1" applyFont="1" applyBorder="1" applyAlignment="1">
      <alignment vertical="center"/>
    </xf>
    <xf numFmtId="164" fontId="1" fillId="0" borderId="5" xfId="0" applyNumberFormat="1" applyFont="1" applyBorder="1" applyAlignment="1">
      <alignment vertical="center"/>
    </xf>
    <xf numFmtId="164" fontId="1" fillId="0" borderId="4" xfId="0" applyNumberFormat="1" applyFont="1" applyBorder="1" applyAlignment="1">
      <alignment vertical="center"/>
    </xf>
    <xf numFmtId="0" fontId="1" fillId="0" borderId="6" xfId="0" applyFont="1" applyBorder="1" applyAlignment="1">
      <alignment vertical="center" wrapText="1"/>
    </xf>
    <xf numFmtId="0" fontId="1" fillId="0" borderId="5" xfId="0" applyFont="1" applyBorder="1" applyAlignment="1">
      <alignment vertical="center" wrapText="1"/>
    </xf>
    <xf numFmtId="0" fontId="1" fillId="0" borderId="4" xfId="0" applyFont="1" applyBorder="1" applyAlignment="1">
      <alignment vertical="center" wrapText="1"/>
    </xf>
    <xf numFmtId="0" fontId="3" fillId="0" borderId="0" xfId="0" applyFont="1" applyBorder="1" applyAlignment="1">
      <alignment horizontal="center" vertical="top"/>
    </xf>
    <xf numFmtId="0" fontId="11" fillId="0" borderId="0" xfId="0" applyFont="1" applyAlignment="1">
      <alignment horizontal="left"/>
    </xf>
    <xf numFmtId="0" fontId="15" fillId="0" borderId="0" xfId="0" applyFont="1" applyAlignment="1">
      <alignment horizontal="left"/>
    </xf>
    <xf numFmtId="2" fontId="3" fillId="0" borderId="0" xfId="0" applyNumberFormat="1" applyFont="1" applyAlignment="1">
      <alignment horizontal="left"/>
    </xf>
    <xf numFmtId="2" fontId="1" fillId="0" borderId="3" xfId="0" applyNumberFormat="1" applyFont="1" applyBorder="1" applyAlignment="1">
      <alignment horizontal="center"/>
    </xf>
    <xf numFmtId="0" fontId="16" fillId="2" borderId="3" xfId="0" applyFont="1" applyFill="1" applyBorder="1" applyAlignment="1">
      <alignment horizontal="center"/>
    </xf>
    <xf numFmtId="0" fontId="1" fillId="0" borderId="1" xfId="0" applyFont="1" applyBorder="1" applyAlignment="1">
      <alignment horizontal="right"/>
    </xf>
    <xf numFmtId="0" fontId="1" fillId="0" borderId="2" xfId="0" applyFont="1" applyBorder="1" applyAlignment="1">
      <alignment horizontal="left" vertical="top" wrapText="1"/>
    </xf>
    <xf numFmtId="0" fontId="1" fillId="0" borderId="2" xfId="0" applyFont="1" applyBorder="1" applyAlignment="1">
      <alignment horizontal="left" vertical="top"/>
    </xf>
    <xf numFmtId="0" fontId="1"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49174</xdr:colOff>
      <xdr:row>14</xdr:row>
      <xdr:rowOff>144379</xdr:rowOff>
    </xdr:from>
    <xdr:to>
      <xdr:col>49</xdr:col>
      <xdr:colOff>30197</xdr:colOff>
      <xdr:row>25</xdr:row>
      <xdr:rowOff>43367</xdr:rowOff>
    </xdr:to>
    <xdr:grpSp>
      <xdr:nvGrpSpPr>
        <xdr:cNvPr id="2" name="Group 1">
          <a:extLst>
            <a:ext uri="{FF2B5EF4-FFF2-40B4-BE49-F238E27FC236}">
              <a16:creationId xmlns:a16="http://schemas.microsoft.com/office/drawing/2014/main" id="{EF8BEF9C-F174-4FCC-88EC-E8D42D7FE548}"/>
            </a:ext>
          </a:extLst>
        </xdr:cNvPr>
        <xdr:cNvGrpSpPr/>
      </xdr:nvGrpSpPr>
      <xdr:grpSpPr>
        <a:xfrm>
          <a:off x="620674" y="2277979"/>
          <a:ext cx="4076773" cy="1575388"/>
          <a:chOff x="590909" y="2507770"/>
          <a:chExt cx="4076773" cy="1601581"/>
        </a:xfrm>
      </xdr:grpSpPr>
      <xdr:grpSp>
        <xdr:nvGrpSpPr>
          <xdr:cNvPr id="3" name="Group 2">
            <a:extLst>
              <a:ext uri="{FF2B5EF4-FFF2-40B4-BE49-F238E27FC236}">
                <a16:creationId xmlns:a16="http://schemas.microsoft.com/office/drawing/2014/main" id="{83CCD932-771B-B211-13D3-F67637EF7F65}"/>
              </a:ext>
            </a:extLst>
          </xdr:cNvPr>
          <xdr:cNvGrpSpPr/>
        </xdr:nvGrpSpPr>
        <xdr:grpSpPr>
          <a:xfrm>
            <a:off x="590909" y="2507770"/>
            <a:ext cx="4065870" cy="367639"/>
            <a:chOff x="603849" y="2223818"/>
            <a:chExt cx="4141351" cy="360000"/>
          </a:xfrm>
        </xdr:grpSpPr>
        <xdr:sp macro="" textlink="">
          <xdr:nvSpPr>
            <xdr:cNvPr id="14" name="Rectangle: Rounded Corners 13">
              <a:extLst>
                <a:ext uri="{FF2B5EF4-FFF2-40B4-BE49-F238E27FC236}">
                  <a16:creationId xmlns:a16="http://schemas.microsoft.com/office/drawing/2014/main" id="{8C5E75DF-1118-8966-7571-188F430E40F7}"/>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US" sz="900">
                  <a:solidFill>
                    <a:schemeClr val="tx1"/>
                  </a:solidFill>
                  <a:latin typeface="Aptos Narrow" panose="020B0004020202020204" pitchFamily="34" charset="0"/>
                </a:rPr>
                <a:t>Sampling</a:t>
              </a:r>
            </a:p>
          </xdr:txBody>
        </xdr:sp>
        <xdr:sp macro="" textlink="">
          <xdr:nvSpPr>
            <xdr:cNvPr id="15" name="Rectangle: Rounded Corners 14">
              <a:extLst>
                <a:ext uri="{FF2B5EF4-FFF2-40B4-BE49-F238E27FC236}">
                  <a16:creationId xmlns:a16="http://schemas.microsoft.com/office/drawing/2014/main" id="{77B3D2A0-BBB7-60C4-D8BC-1C37150EC1B8}"/>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Sample Preparation</a:t>
              </a:r>
            </a:p>
            <a:p>
              <a:pPr algn="ctr"/>
              <a:r>
                <a:rPr lang="en-US" sz="700">
                  <a:solidFill>
                    <a:schemeClr val="tx1"/>
                  </a:solidFill>
                  <a:latin typeface="Aptos Narrow" panose="020B0004020202020204" pitchFamily="34" charset="0"/>
                </a:rPr>
                <a:t>(Grinding, drying, weighing, etc.)</a:t>
              </a:r>
              <a:endParaRPr lang="en-US" sz="900">
                <a:solidFill>
                  <a:schemeClr val="tx1"/>
                </a:solidFill>
                <a:latin typeface="Aptos Narrow" panose="020B0004020202020204" pitchFamily="34" charset="0"/>
              </a:endParaRPr>
            </a:p>
          </xdr:txBody>
        </xdr:sp>
        <xdr:cxnSp macro="">
          <xdr:nvCxnSpPr>
            <xdr:cNvPr id="16" name="Straight Arrow Connector 15">
              <a:extLst>
                <a:ext uri="{FF2B5EF4-FFF2-40B4-BE49-F238E27FC236}">
                  <a16:creationId xmlns:a16="http://schemas.microsoft.com/office/drawing/2014/main" id="{E0D96F19-C898-9E57-F939-D57B3744BCB7}"/>
                </a:ext>
              </a:extLst>
            </xdr:cNvPr>
            <xdr:cNvCxnSpPr>
              <a:stCxn id="14" idx="3"/>
              <a:endCxn id="15"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4" name="Group 3">
            <a:extLst>
              <a:ext uri="{FF2B5EF4-FFF2-40B4-BE49-F238E27FC236}">
                <a16:creationId xmlns:a16="http://schemas.microsoft.com/office/drawing/2014/main" id="{F480D0D7-B6C1-8B67-38F5-E61B5920BFE0}"/>
              </a:ext>
            </a:extLst>
          </xdr:cNvPr>
          <xdr:cNvGrpSpPr/>
        </xdr:nvGrpSpPr>
        <xdr:grpSpPr>
          <a:xfrm>
            <a:off x="590909" y="3124742"/>
            <a:ext cx="4065870" cy="367638"/>
            <a:chOff x="603849" y="2223818"/>
            <a:chExt cx="4141351" cy="360000"/>
          </a:xfrm>
        </xdr:grpSpPr>
        <xdr:sp macro="" textlink="">
          <xdr:nvSpPr>
            <xdr:cNvPr id="11" name="Rectangle: Rounded Corners 10">
              <a:extLst>
                <a:ext uri="{FF2B5EF4-FFF2-40B4-BE49-F238E27FC236}">
                  <a16:creationId xmlns:a16="http://schemas.microsoft.com/office/drawing/2014/main" id="{F690178B-9DD4-1B02-63C6-D85963B8F017}"/>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Cool in Desiccator</a:t>
              </a:r>
            </a:p>
            <a:p>
              <a:pPr algn="ctr"/>
              <a:r>
                <a:rPr lang="en-US" sz="700">
                  <a:solidFill>
                    <a:schemeClr val="tx1"/>
                  </a:solidFill>
                  <a:latin typeface="Aptos Narrow" panose="020B0004020202020204" pitchFamily="34" charset="0"/>
                </a:rPr>
                <a:t>(sample back to room temp.)</a:t>
              </a:r>
              <a:endParaRPr lang="en-US" sz="900">
                <a:solidFill>
                  <a:schemeClr val="tx1"/>
                </a:solidFill>
                <a:latin typeface="Aptos Narrow" panose="020B0004020202020204" pitchFamily="34" charset="0"/>
              </a:endParaRPr>
            </a:p>
          </xdr:txBody>
        </xdr:sp>
        <xdr:sp macro="" textlink="">
          <xdr:nvSpPr>
            <xdr:cNvPr id="12" name="Rectangle: Rounded Corners 11">
              <a:extLst>
                <a:ext uri="{FF2B5EF4-FFF2-40B4-BE49-F238E27FC236}">
                  <a16:creationId xmlns:a16="http://schemas.microsoft.com/office/drawing/2014/main" id="{927F1598-A0B8-41F5-D312-22F16675A65D}"/>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Dry Sample in Oven</a:t>
              </a:r>
            </a:p>
            <a:p>
              <a:pPr algn="ctr"/>
              <a:r>
                <a:rPr lang="en-US" sz="700">
                  <a:solidFill>
                    <a:schemeClr val="tx1"/>
                  </a:solidFill>
                  <a:latin typeface="Aptos Narrow" panose="020B0004020202020204" pitchFamily="34" charset="0"/>
                </a:rPr>
                <a:t>(105–110 °C for 1 hour)</a:t>
              </a:r>
              <a:endParaRPr lang="en-US" sz="900">
                <a:solidFill>
                  <a:schemeClr val="tx1"/>
                </a:solidFill>
                <a:latin typeface="Aptos Narrow" panose="020B0004020202020204" pitchFamily="34" charset="0"/>
              </a:endParaRPr>
            </a:p>
          </xdr:txBody>
        </xdr:sp>
        <xdr:cxnSp macro="">
          <xdr:nvCxnSpPr>
            <xdr:cNvPr id="13" name="Straight Arrow Connector 12">
              <a:extLst>
                <a:ext uri="{FF2B5EF4-FFF2-40B4-BE49-F238E27FC236}">
                  <a16:creationId xmlns:a16="http://schemas.microsoft.com/office/drawing/2014/main" id="{AA7A4F62-2EE3-8FE0-BFF5-DAB1E64A4C20}"/>
                </a:ext>
              </a:extLst>
            </xdr:cNvPr>
            <xdr:cNvCxnSpPr>
              <a:stCxn id="12" idx="1"/>
              <a:endCxn id="11" idx="3"/>
            </xdr:cNvCxnSpPr>
          </xdr:nvCxnSpPr>
          <xdr:spPr>
            <a:xfrm flipH="1">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5" name="Group 4">
            <a:extLst>
              <a:ext uri="{FF2B5EF4-FFF2-40B4-BE49-F238E27FC236}">
                <a16:creationId xmlns:a16="http://schemas.microsoft.com/office/drawing/2014/main" id="{CAE40992-DEFB-A6BF-7593-D2062AD67994}"/>
              </a:ext>
            </a:extLst>
          </xdr:cNvPr>
          <xdr:cNvGrpSpPr/>
        </xdr:nvGrpSpPr>
        <xdr:grpSpPr>
          <a:xfrm>
            <a:off x="590909" y="3741713"/>
            <a:ext cx="4065870" cy="367638"/>
            <a:chOff x="603849" y="2223818"/>
            <a:chExt cx="4141351" cy="360000"/>
          </a:xfrm>
        </xdr:grpSpPr>
        <xdr:sp macro="" textlink="">
          <xdr:nvSpPr>
            <xdr:cNvPr id="8" name="Rectangle: Rounded Corners 7">
              <a:extLst>
                <a:ext uri="{FF2B5EF4-FFF2-40B4-BE49-F238E27FC236}">
                  <a16:creationId xmlns:a16="http://schemas.microsoft.com/office/drawing/2014/main" id="{92A104EA-84B6-DD4A-686C-A4D6A906B0C3}"/>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Weigh sample again after drying</a:t>
              </a:r>
            </a:p>
          </xdr:txBody>
        </xdr:sp>
        <xdr:sp macro="" textlink="">
          <xdr:nvSpPr>
            <xdr:cNvPr id="9" name="Rectangle: Rounded Corners 8">
              <a:extLst>
                <a:ext uri="{FF2B5EF4-FFF2-40B4-BE49-F238E27FC236}">
                  <a16:creationId xmlns:a16="http://schemas.microsoft.com/office/drawing/2014/main" id="{9D717099-1BD6-126F-86A3-5D127EC4DFB6}"/>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b="1">
                  <a:solidFill>
                    <a:schemeClr val="tx1"/>
                  </a:solidFill>
                  <a:latin typeface="Aptos Narrow" panose="020B0004020202020204" pitchFamily="34" charset="0"/>
                </a:rPr>
                <a:t>Calculate Moisture Content, %</a:t>
              </a:r>
            </a:p>
          </xdr:txBody>
        </xdr:sp>
        <xdr:cxnSp macro="">
          <xdr:nvCxnSpPr>
            <xdr:cNvPr id="10" name="Straight Arrow Connector 9">
              <a:extLst>
                <a:ext uri="{FF2B5EF4-FFF2-40B4-BE49-F238E27FC236}">
                  <a16:creationId xmlns:a16="http://schemas.microsoft.com/office/drawing/2014/main" id="{539C33E6-D75C-7ECB-ABC7-F9DC76FD2EE7}"/>
                </a:ext>
              </a:extLst>
            </xdr:cNvPr>
            <xdr:cNvCxnSpPr>
              <a:stCxn id="8" idx="3"/>
              <a:endCxn id="9"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xnSp macro="">
        <xdr:nvCxnSpPr>
          <xdr:cNvPr id="6" name="Connector: Elbow 5">
            <a:extLst>
              <a:ext uri="{FF2B5EF4-FFF2-40B4-BE49-F238E27FC236}">
                <a16:creationId xmlns:a16="http://schemas.microsoft.com/office/drawing/2014/main" id="{387390E8-EF56-1B0A-1134-BEBF3A233DFA}"/>
              </a:ext>
            </a:extLst>
          </xdr:cNvPr>
          <xdr:cNvCxnSpPr>
            <a:stCxn id="15" idx="3"/>
            <a:endCxn id="12" idx="3"/>
          </xdr:cNvCxnSpPr>
        </xdr:nvCxnSpPr>
        <xdr:spPr>
          <a:xfrm>
            <a:off x="4656779" y="2691589"/>
            <a:ext cx="10903" cy="616972"/>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cxnSp macro="">
        <xdr:nvCxnSpPr>
          <xdr:cNvPr id="7" name="Connector: Elbow 6">
            <a:extLst>
              <a:ext uri="{FF2B5EF4-FFF2-40B4-BE49-F238E27FC236}">
                <a16:creationId xmlns:a16="http://schemas.microsoft.com/office/drawing/2014/main" id="{2A6EBB47-AB4C-A662-BD58-A7C5E2F4346F}"/>
              </a:ext>
            </a:extLst>
          </xdr:cNvPr>
          <xdr:cNvCxnSpPr>
            <a:stCxn id="11" idx="1"/>
            <a:endCxn id="8" idx="1"/>
          </xdr:cNvCxnSpPr>
        </xdr:nvCxnSpPr>
        <xdr:spPr>
          <a:xfrm rot="10800000" flipV="1">
            <a:off x="590909" y="3308560"/>
            <a:ext cx="12700" cy="616970"/>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36480</xdr:colOff>
      <xdr:row>27</xdr:row>
      <xdr:rowOff>129448</xdr:rowOff>
    </xdr:from>
    <xdr:to>
      <xdr:col>59</xdr:col>
      <xdr:colOff>30671</xdr:colOff>
      <xdr:row>41</xdr:row>
      <xdr:rowOff>33387</xdr:rowOff>
    </xdr:to>
    <xdr:grpSp>
      <xdr:nvGrpSpPr>
        <xdr:cNvPr id="17" name="Group 16">
          <a:extLst>
            <a:ext uri="{FF2B5EF4-FFF2-40B4-BE49-F238E27FC236}">
              <a16:creationId xmlns:a16="http://schemas.microsoft.com/office/drawing/2014/main" id="{434EE8C0-FD8A-41AF-A771-8ABCCC635B79}"/>
            </a:ext>
          </a:extLst>
        </xdr:cNvPr>
        <xdr:cNvGrpSpPr>
          <a:grpSpLocks noChangeAspect="1"/>
        </xdr:cNvGrpSpPr>
      </xdr:nvGrpSpPr>
      <xdr:grpSpPr>
        <a:xfrm>
          <a:off x="417480" y="4244248"/>
          <a:ext cx="5232941" cy="2037539"/>
          <a:chOff x="1179478" y="4493795"/>
          <a:chExt cx="5721812" cy="2221132"/>
        </a:xfrm>
      </xdr:grpSpPr>
      <xdr:grpSp>
        <xdr:nvGrpSpPr>
          <xdr:cNvPr id="18" name="Group 17">
            <a:extLst>
              <a:ext uri="{FF2B5EF4-FFF2-40B4-BE49-F238E27FC236}">
                <a16:creationId xmlns:a16="http://schemas.microsoft.com/office/drawing/2014/main" id="{120E68BA-DCE1-709D-6A3D-2BEA1F00501A}"/>
              </a:ext>
            </a:extLst>
          </xdr:cNvPr>
          <xdr:cNvGrpSpPr/>
        </xdr:nvGrpSpPr>
        <xdr:grpSpPr>
          <a:xfrm>
            <a:off x="1179478" y="4644013"/>
            <a:ext cx="5721812" cy="1929886"/>
            <a:chOff x="36478" y="4205863"/>
            <a:chExt cx="5721812" cy="1929886"/>
          </a:xfrm>
        </xdr:grpSpPr>
        <xdr:grpSp>
          <xdr:nvGrpSpPr>
            <xdr:cNvPr id="26" name="Group 25">
              <a:extLst>
                <a:ext uri="{FF2B5EF4-FFF2-40B4-BE49-F238E27FC236}">
                  <a16:creationId xmlns:a16="http://schemas.microsoft.com/office/drawing/2014/main" id="{8FB24606-F756-53D6-400B-77F2BB090188}"/>
                </a:ext>
              </a:extLst>
            </xdr:cNvPr>
            <xdr:cNvGrpSpPr/>
          </xdr:nvGrpSpPr>
          <xdr:grpSpPr>
            <a:xfrm>
              <a:off x="36478" y="4205863"/>
              <a:ext cx="4328521" cy="1929886"/>
              <a:chOff x="36478" y="4249637"/>
              <a:chExt cx="4419719" cy="1950963"/>
            </a:xfrm>
          </xdr:grpSpPr>
          <xdr:grpSp>
            <xdr:nvGrpSpPr>
              <xdr:cNvPr id="31" name="Group 30">
                <a:extLst>
                  <a:ext uri="{FF2B5EF4-FFF2-40B4-BE49-F238E27FC236}">
                    <a16:creationId xmlns:a16="http://schemas.microsoft.com/office/drawing/2014/main" id="{8DB2E887-67F1-8740-0268-3E0C1D49311D}"/>
                  </a:ext>
                </a:extLst>
              </xdr:cNvPr>
              <xdr:cNvGrpSpPr/>
            </xdr:nvGrpSpPr>
            <xdr:grpSpPr>
              <a:xfrm>
                <a:off x="2798053" y="4249637"/>
                <a:ext cx="1658144" cy="1950963"/>
                <a:chOff x="2798053" y="4255581"/>
                <a:chExt cx="1658144" cy="1950963"/>
              </a:xfrm>
            </xdr:grpSpPr>
            <xdr:grpSp>
              <xdr:nvGrpSpPr>
                <xdr:cNvPr id="66" name="Group 65">
                  <a:extLst>
                    <a:ext uri="{FF2B5EF4-FFF2-40B4-BE49-F238E27FC236}">
                      <a16:creationId xmlns:a16="http://schemas.microsoft.com/office/drawing/2014/main" id="{12DF79BF-DE70-A41E-5C28-DA361D5C5DA8}"/>
                    </a:ext>
                  </a:extLst>
                </xdr:cNvPr>
                <xdr:cNvGrpSpPr/>
              </xdr:nvGrpSpPr>
              <xdr:grpSpPr>
                <a:xfrm>
                  <a:off x="2798053" y="4255581"/>
                  <a:ext cx="1658129" cy="956376"/>
                  <a:chOff x="2511459" y="4309314"/>
                  <a:chExt cx="1623699" cy="946649"/>
                </a:xfrm>
              </xdr:grpSpPr>
              <xdr:cxnSp macro="">
                <xdr:nvCxnSpPr>
                  <xdr:cNvPr id="78" name="Straight Arrow Connector 77">
                    <a:extLst>
                      <a:ext uri="{FF2B5EF4-FFF2-40B4-BE49-F238E27FC236}">
                        <a16:creationId xmlns:a16="http://schemas.microsoft.com/office/drawing/2014/main" id="{F96C46C3-700A-22E4-3AF5-6A3B458150EA}"/>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79" name="Group 78">
                    <a:extLst>
                      <a:ext uri="{FF2B5EF4-FFF2-40B4-BE49-F238E27FC236}">
                        <a16:creationId xmlns:a16="http://schemas.microsoft.com/office/drawing/2014/main" id="{D7D17E0B-3CCF-260A-944B-4B8E911C54BE}"/>
                      </a:ext>
                    </a:extLst>
                  </xdr:cNvPr>
                  <xdr:cNvGrpSpPr/>
                </xdr:nvGrpSpPr>
                <xdr:grpSpPr>
                  <a:xfrm>
                    <a:off x="2511459" y="4373271"/>
                    <a:ext cx="1168643" cy="128065"/>
                    <a:chOff x="2582347" y="4496127"/>
                    <a:chExt cx="1188000" cy="127407"/>
                  </a:xfrm>
                </xdr:grpSpPr>
                <xdr:cxnSp macro="">
                  <xdr:nvCxnSpPr>
                    <xdr:cNvPr id="86" name="Straight Arrow Connector 85">
                      <a:extLst>
                        <a:ext uri="{FF2B5EF4-FFF2-40B4-BE49-F238E27FC236}">
                          <a16:creationId xmlns:a16="http://schemas.microsoft.com/office/drawing/2014/main" id="{E2A1A279-2E3A-B5E1-6D62-3B640D914534}"/>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7" name="TextBox 86">
                      <a:extLst>
                        <a:ext uri="{FF2B5EF4-FFF2-40B4-BE49-F238E27FC236}">
                          <a16:creationId xmlns:a16="http://schemas.microsoft.com/office/drawing/2014/main" id="{898B09CA-61B7-67B1-49CC-437562DEF11D}"/>
                        </a:ext>
                      </a:extLst>
                    </xdr:cNvPr>
                    <xdr:cNvSpPr txBox="1"/>
                  </xdr:nvSpPr>
                  <xdr:spPr>
                    <a:xfrm>
                      <a:off x="2586400" y="4496127"/>
                      <a:ext cx="800131" cy="127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Oven Temp. profile</a:t>
                      </a:r>
                    </a:p>
                  </xdr:txBody>
                </xdr:sp>
              </xdr:grpSp>
              <xdr:grpSp>
                <xdr:nvGrpSpPr>
                  <xdr:cNvPr id="80" name="Group 79">
                    <a:extLst>
                      <a:ext uri="{FF2B5EF4-FFF2-40B4-BE49-F238E27FC236}">
                        <a16:creationId xmlns:a16="http://schemas.microsoft.com/office/drawing/2014/main" id="{6780AB65-3187-6677-09AC-AE0C6FF97725}"/>
                      </a:ext>
                    </a:extLst>
                  </xdr:cNvPr>
                  <xdr:cNvGrpSpPr/>
                </xdr:nvGrpSpPr>
                <xdr:grpSpPr>
                  <a:xfrm>
                    <a:off x="2689758" y="4677540"/>
                    <a:ext cx="1169616" cy="129210"/>
                    <a:chOff x="2581358" y="4496127"/>
                    <a:chExt cx="1188989" cy="128548"/>
                  </a:xfrm>
                </xdr:grpSpPr>
                <xdr:cxnSp macro="">
                  <xdr:nvCxnSpPr>
                    <xdr:cNvPr id="84" name="Straight Arrow Connector 83">
                      <a:extLst>
                        <a:ext uri="{FF2B5EF4-FFF2-40B4-BE49-F238E27FC236}">
                          <a16:creationId xmlns:a16="http://schemas.microsoft.com/office/drawing/2014/main" id="{4780C488-98B5-A4CB-CFCD-AAC9262485C4}"/>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5" name="TextBox 84">
                      <a:extLst>
                        <a:ext uri="{FF2B5EF4-FFF2-40B4-BE49-F238E27FC236}">
                          <a16:creationId xmlns:a16="http://schemas.microsoft.com/office/drawing/2014/main" id="{CFEC5A3E-613A-D29B-58FB-1C72818F6188}"/>
                        </a:ext>
                      </a:extLst>
                    </xdr:cNvPr>
                    <xdr:cNvSpPr txBox="1"/>
                  </xdr:nvSpPr>
                  <xdr:spPr>
                    <a:xfrm>
                      <a:off x="2581358" y="4496127"/>
                      <a:ext cx="994392"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Drying and cooling time</a:t>
                      </a:r>
                    </a:p>
                  </xdr:txBody>
                </xdr:sp>
              </xdr:grpSp>
              <xdr:grpSp>
                <xdr:nvGrpSpPr>
                  <xdr:cNvPr id="81" name="Group 80">
                    <a:extLst>
                      <a:ext uri="{FF2B5EF4-FFF2-40B4-BE49-F238E27FC236}">
                        <a16:creationId xmlns:a16="http://schemas.microsoft.com/office/drawing/2014/main" id="{B1AD83D0-81F0-C3A1-AF2C-D66BDE9809BD}"/>
                      </a:ext>
                    </a:extLst>
                  </xdr:cNvPr>
                  <xdr:cNvGrpSpPr/>
                </xdr:nvGrpSpPr>
                <xdr:grpSpPr>
                  <a:xfrm>
                    <a:off x="2872637" y="4981873"/>
                    <a:ext cx="1169617" cy="129210"/>
                    <a:chOff x="2581357" y="4496127"/>
                    <a:chExt cx="1188990" cy="128546"/>
                  </a:xfrm>
                </xdr:grpSpPr>
                <xdr:cxnSp macro="">
                  <xdr:nvCxnSpPr>
                    <xdr:cNvPr id="82" name="Straight Arrow Connector 81">
                      <a:extLst>
                        <a:ext uri="{FF2B5EF4-FFF2-40B4-BE49-F238E27FC236}">
                          <a16:creationId xmlns:a16="http://schemas.microsoft.com/office/drawing/2014/main" id="{BD9A87BE-D9B5-3BCA-D7D2-DB0479AFB7D3}"/>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3" name="TextBox 82">
                      <a:extLst>
                        <a:ext uri="{FF2B5EF4-FFF2-40B4-BE49-F238E27FC236}">
                          <a16:creationId xmlns:a16="http://schemas.microsoft.com/office/drawing/2014/main" id="{D391ECF6-ECE9-5374-45A6-C36A7ECD0018}"/>
                        </a:ext>
                      </a:extLst>
                    </xdr:cNvPr>
                    <xdr:cNvSpPr txBox="1"/>
                  </xdr:nvSpPr>
                  <xdr:spPr>
                    <a:xfrm>
                      <a:off x="2581357" y="4496127"/>
                      <a:ext cx="711696"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handling</a:t>
                      </a:r>
                    </a:p>
                  </xdr:txBody>
                </xdr:sp>
              </xdr:grpSp>
            </xdr:grpSp>
            <xdr:grpSp>
              <xdr:nvGrpSpPr>
                <xdr:cNvPr id="67" name="Group 66">
                  <a:extLst>
                    <a:ext uri="{FF2B5EF4-FFF2-40B4-BE49-F238E27FC236}">
                      <a16:creationId xmlns:a16="http://schemas.microsoft.com/office/drawing/2014/main" id="{BC6EC020-541A-0447-2170-FB610EE56E44}"/>
                    </a:ext>
                  </a:extLst>
                </xdr:cNvPr>
                <xdr:cNvGrpSpPr/>
              </xdr:nvGrpSpPr>
              <xdr:grpSpPr>
                <a:xfrm flipV="1">
                  <a:off x="2798071" y="5250812"/>
                  <a:ext cx="1658126" cy="955732"/>
                  <a:chOff x="2511466" y="4309314"/>
                  <a:chExt cx="1623692" cy="946649"/>
                </a:xfrm>
              </xdr:grpSpPr>
              <xdr:cxnSp macro="">
                <xdr:nvCxnSpPr>
                  <xdr:cNvPr id="68" name="Straight Arrow Connector 67">
                    <a:extLst>
                      <a:ext uri="{FF2B5EF4-FFF2-40B4-BE49-F238E27FC236}">
                        <a16:creationId xmlns:a16="http://schemas.microsoft.com/office/drawing/2014/main" id="{DE1AD4C1-7DB4-C2F8-FB1C-A5BBEC0ECC6F}"/>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69" name="Group 68">
                    <a:extLst>
                      <a:ext uri="{FF2B5EF4-FFF2-40B4-BE49-F238E27FC236}">
                        <a16:creationId xmlns:a16="http://schemas.microsoft.com/office/drawing/2014/main" id="{9F1178D7-2BF1-2D21-5B9A-3C245DD61371}"/>
                      </a:ext>
                    </a:extLst>
                  </xdr:cNvPr>
                  <xdr:cNvGrpSpPr/>
                </xdr:nvGrpSpPr>
                <xdr:grpSpPr>
                  <a:xfrm>
                    <a:off x="2511466" y="4371540"/>
                    <a:ext cx="1168646" cy="129297"/>
                    <a:chOff x="2582347" y="4494417"/>
                    <a:chExt cx="1188000" cy="128633"/>
                  </a:xfrm>
                </xdr:grpSpPr>
                <xdr:cxnSp macro="">
                  <xdr:nvCxnSpPr>
                    <xdr:cNvPr id="76" name="Straight Arrow Connector 75">
                      <a:extLst>
                        <a:ext uri="{FF2B5EF4-FFF2-40B4-BE49-F238E27FC236}">
                          <a16:creationId xmlns:a16="http://schemas.microsoft.com/office/drawing/2014/main" id="{BCEE352B-59BA-94A4-9C15-F7FF52B9327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7" name="TextBox 76">
                      <a:extLst>
                        <a:ext uri="{FF2B5EF4-FFF2-40B4-BE49-F238E27FC236}">
                          <a16:creationId xmlns:a16="http://schemas.microsoft.com/office/drawing/2014/main" id="{82733030-78E2-3425-79E5-6C2A13B059C6}"/>
                        </a:ext>
                      </a:extLst>
                    </xdr:cNvPr>
                    <xdr:cNvSpPr txBox="1"/>
                  </xdr:nvSpPr>
                  <xdr:spPr>
                    <a:xfrm rot="10800000">
                      <a:off x="2610604" y="4494417"/>
                      <a:ext cx="660667" cy="128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Desiccator seal</a:t>
                      </a:r>
                    </a:p>
                  </xdr:txBody>
                </xdr:sp>
              </xdr:grpSp>
              <xdr:grpSp>
                <xdr:nvGrpSpPr>
                  <xdr:cNvPr id="70" name="Group 69">
                    <a:extLst>
                      <a:ext uri="{FF2B5EF4-FFF2-40B4-BE49-F238E27FC236}">
                        <a16:creationId xmlns:a16="http://schemas.microsoft.com/office/drawing/2014/main" id="{7B3BECAB-8DAE-EDAF-C642-71D4558D8779}"/>
                      </a:ext>
                    </a:extLst>
                  </xdr:cNvPr>
                  <xdr:cNvGrpSpPr/>
                </xdr:nvGrpSpPr>
                <xdr:grpSpPr>
                  <a:xfrm>
                    <a:off x="2690733" y="4675850"/>
                    <a:ext cx="1168646" cy="129297"/>
                    <a:chOff x="2582347" y="4494426"/>
                    <a:chExt cx="1188000" cy="128634"/>
                  </a:xfrm>
                </xdr:grpSpPr>
                <xdr:cxnSp macro="">
                  <xdr:nvCxnSpPr>
                    <xdr:cNvPr id="74" name="Straight Arrow Connector 73">
                      <a:extLst>
                        <a:ext uri="{FF2B5EF4-FFF2-40B4-BE49-F238E27FC236}">
                          <a16:creationId xmlns:a16="http://schemas.microsoft.com/office/drawing/2014/main" id="{E3348F2B-5E1F-6F34-5DA2-BCABC35F89E5}"/>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5" name="TextBox 74">
                      <a:extLst>
                        <a:ext uri="{FF2B5EF4-FFF2-40B4-BE49-F238E27FC236}">
                          <a16:creationId xmlns:a16="http://schemas.microsoft.com/office/drawing/2014/main" id="{43BD6431-9A1F-653F-374C-F9AA38A803A7}"/>
                        </a:ext>
                      </a:extLst>
                    </xdr:cNvPr>
                    <xdr:cNvSpPr txBox="1"/>
                  </xdr:nvSpPr>
                  <xdr:spPr>
                    <a:xfrm rot="10800000">
                      <a:off x="2606226" y="4494426"/>
                      <a:ext cx="473462"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Calibration</a:t>
                      </a:r>
                    </a:p>
                  </xdr:txBody>
                </xdr:sp>
              </xdr:grpSp>
              <xdr:grpSp>
                <xdr:nvGrpSpPr>
                  <xdr:cNvPr id="71" name="Group 70">
                    <a:extLst>
                      <a:ext uri="{FF2B5EF4-FFF2-40B4-BE49-F238E27FC236}">
                        <a16:creationId xmlns:a16="http://schemas.microsoft.com/office/drawing/2014/main" id="{129E6CD7-9496-53AB-6D0C-684E44FDF77A}"/>
                      </a:ext>
                    </a:extLst>
                  </xdr:cNvPr>
                  <xdr:cNvGrpSpPr/>
                </xdr:nvGrpSpPr>
                <xdr:grpSpPr>
                  <a:xfrm>
                    <a:off x="2873621" y="4980466"/>
                    <a:ext cx="1168648" cy="129297"/>
                    <a:chOff x="2582347" y="4494708"/>
                    <a:chExt cx="1188000" cy="128632"/>
                  </a:xfrm>
                </xdr:grpSpPr>
                <xdr:cxnSp macro="">
                  <xdr:nvCxnSpPr>
                    <xdr:cNvPr id="72" name="Straight Arrow Connector 71">
                      <a:extLst>
                        <a:ext uri="{FF2B5EF4-FFF2-40B4-BE49-F238E27FC236}">
                          <a16:creationId xmlns:a16="http://schemas.microsoft.com/office/drawing/2014/main" id="{A28D5D16-4306-2313-61E8-189F4CE75E20}"/>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3" name="TextBox 72">
                      <a:extLst>
                        <a:ext uri="{FF2B5EF4-FFF2-40B4-BE49-F238E27FC236}">
                          <a16:creationId xmlns:a16="http://schemas.microsoft.com/office/drawing/2014/main" id="{DABD25BE-B825-E470-0B74-17355D19DCE2}"/>
                        </a:ext>
                      </a:extLst>
                    </xdr:cNvPr>
                    <xdr:cNvSpPr txBox="1"/>
                  </xdr:nvSpPr>
                  <xdr:spPr>
                    <a:xfrm rot="10800000">
                      <a:off x="2600602" y="4494708"/>
                      <a:ext cx="756229"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pPr algn="l"/>
                      <a:r>
                        <a:rPr lang="en-US" sz="750"/>
                        <a:t>Balance accuracy</a:t>
                      </a:r>
                    </a:p>
                  </xdr:txBody>
                </xdr:sp>
              </xdr:grpSp>
            </xdr:grpSp>
          </xdr:grpSp>
          <xdr:grpSp>
            <xdr:nvGrpSpPr>
              <xdr:cNvPr id="32" name="Group 31">
                <a:extLst>
                  <a:ext uri="{FF2B5EF4-FFF2-40B4-BE49-F238E27FC236}">
                    <a16:creationId xmlns:a16="http://schemas.microsoft.com/office/drawing/2014/main" id="{18400CAE-309E-7870-5A2F-64A625058DFD}"/>
                  </a:ext>
                </a:extLst>
              </xdr:cNvPr>
              <xdr:cNvGrpSpPr/>
            </xdr:nvGrpSpPr>
            <xdr:grpSpPr>
              <a:xfrm>
                <a:off x="1416769" y="4249637"/>
                <a:ext cx="1659143" cy="1950963"/>
                <a:chOff x="2797060" y="4255581"/>
                <a:chExt cx="1659143" cy="1950963"/>
              </a:xfrm>
            </xdr:grpSpPr>
            <xdr:grpSp>
              <xdr:nvGrpSpPr>
                <xdr:cNvPr id="44" name="Group 43">
                  <a:extLst>
                    <a:ext uri="{FF2B5EF4-FFF2-40B4-BE49-F238E27FC236}">
                      <a16:creationId xmlns:a16="http://schemas.microsoft.com/office/drawing/2014/main" id="{47D13AB1-B87A-8336-8B83-681930894DFB}"/>
                    </a:ext>
                  </a:extLst>
                </xdr:cNvPr>
                <xdr:cNvGrpSpPr/>
              </xdr:nvGrpSpPr>
              <xdr:grpSpPr>
                <a:xfrm>
                  <a:off x="2797060" y="4255581"/>
                  <a:ext cx="1659123" cy="956376"/>
                  <a:chOff x="2510486" y="4309314"/>
                  <a:chExt cx="1624672" cy="946649"/>
                </a:xfrm>
              </xdr:grpSpPr>
              <xdr:cxnSp macro="">
                <xdr:nvCxnSpPr>
                  <xdr:cNvPr id="56" name="Straight Arrow Connector 55">
                    <a:extLst>
                      <a:ext uri="{FF2B5EF4-FFF2-40B4-BE49-F238E27FC236}">
                        <a16:creationId xmlns:a16="http://schemas.microsoft.com/office/drawing/2014/main" id="{C85E73CB-66D0-95CA-0DA4-212FB05D1392}"/>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57" name="Group 56">
                    <a:extLst>
                      <a:ext uri="{FF2B5EF4-FFF2-40B4-BE49-F238E27FC236}">
                        <a16:creationId xmlns:a16="http://schemas.microsoft.com/office/drawing/2014/main" id="{9F7F7FE0-B8D3-A087-ADA2-E05A40546E29}"/>
                      </a:ext>
                    </a:extLst>
                  </xdr:cNvPr>
                  <xdr:cNvGrpSpPr/>
                </xdr:nvGrpSpPr>
                <xdr:grpSpPr>
                  <a:xfrm>
                    <a:off x="2510486" y="4373275"/>
                    <a:ext cx="1169616" cy="129210"/>
                    <a:chOff x="2581358" y="4496127"/>
                    <a:chExt cx="1188989" cy="128546"/>
                  </a:xfrm>
                </xdr:grpSpPr>
                <xdr:cxnSp macro="">
                  <xdr:nvCxnSpPr>
                    <xdr:cNvPr id="64" name="Straight Arrow Connector 63">
                      <a:extLst>
                        <a:ext uri="{FF2B5EF4-FFF2-40B4-BE49-F238E27FC236}">
                          <a16:creationId xmlns:a16="http://schemas.microsoft.com/office/drawing/2014/main" id="{0BCB9396-B701-AEF6-5289-3EC5D9FB74E8}"/>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5" name="TextBox 64">
                      <a:extLst>
                        <a:ext uri="{FF2B5EF4-FFF2-40B4-BE49-F238E27FC236}">
                          <a16:creationId xmlns:a16="http://schemas.microsoft.com/office/drawing/2014/main" id="{4374BDCF-B2CD-8106-DA88-906418715476}"/>
                        </a:ext>
                      </a:extLst>
                    </xdr:cNvPr>
                    <xdr:cNvSpPr txBox="1"/>
                  </xdr:nvSpPr>
                  <xdr:spPr>
                    <a:xfrm>
                      <a:off x="2581358" y="4496127"/>
                      <a:ext cx="660172"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Humidity in Lab</a:t>
                      </a:r>
                    </a:p>
                  </xdr:txBody>
                </xdr:sp>
              </xdr:grpSp>
              <xdr:grpSp>
                <xdr:nvGrpSpPr>
                  <xdr:cNvPr id="58" name="Group 57">
                    <a:extLst>
                      <a:ext uri="{FF2B5EF4-FFF2-40B4-BE49-F238E27FC236}">
                        <a16:creationId xmlns:a16="http://schemas.microsoft.com/office/drawing/2014/main" id="{C51B78E7-9CEC-FFA5-19D3-D7699DBFB143}"/>
                      </a:ext>
                    </a:extLst>
                  </xdr:cNvPr>
                  <xdr:cNvGrpSpPr/>
                </xdr:nvGrpSpPr>
                <xdr:grpSpPr>
                  <a:xfrm>
                    <a:off x="2689758" y="4677540"/>
                    <a:ext cx="1169616" cy="129210"/>
                    <a:chOff x="2581358" y="4496127"/>
                    <a:chExt cx="1188989" cy="128548"/>
                  </a:xfrm>
                </xdr:grpSpPr>
                <xdr:cxnSp macro="">
                  <xdr:nvCxnSpPr>
                    <xdr:cNvPr id="62" name="Straight Arrow Connector 61">
                      <a:extLst>
                        <a:ext uri="{FF2B5EF4-FFF2-40B4-BE49-F238E27FC236}">
                          <a16:creationId xmlns:a16="http://schemas.microsoft.com/office/drawing/2014/main" id="{6BE2ECB0-F19D-E1C1-83D1-A5B0BE358B29}"/>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3" name="TextBox 62">
                      <a:extLst>
                        <a:ext uri="{FF2B5EF4-FFF2-40B4-BE49-F238E27FC236}">
                          <a16:creationId xmlns:a16="http://schemas.microsoft.com/office/drawing/2014/main" id="{39A1669C-1139-1F61-CD65-0E56289D1EBA}"/>
                        </a:ext>
                      </a:extLst>
                    </xdr:cNvPr>
                    <xdr:cNvSpPr txBox="1"/>
                  </xdr:nvSpPr>
                  <xdr:spPr>
                    <a:xfrm>
                      <a:off x="2581358" y="4496127"/>
                      <a:ext cx="743905"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Airflow and drafts</a:t>
                      </a:r>
                    </a:p>
                  </xdr:txBody>
                </xdr:sp>
              </xdr:grpSp>
              <xdr:grpSp>
                <xdr:nvGrpSpPr>
                  <xdr:cNvPr id="59" name="Group 58">
                    <a:extLst>
                      <a:ext uri="{FF2B5EF4-FFF2-40B4-BE49-F238E27FC236}">
                        <a16:creationId xmlns:a16="http://schemas.microsoft.com/office/drawing/2014/main" id="{8631F1C5-DCBA-81CF-104A-AFCC8C29F684}"/>
                      </a:ext>
                    </a:extLst>
                  </xdr:cNvPr>
                  <xdr:cNvGrpSpPr/>
                </xdr:nvGrpSpPr>
                <xdr:grpSpPr>
                  <a:xfrm>
                    <a:off x="2872638" y="4981873"/>
                    <a:ext cx="1169616" cy="129210"/>
                    <a:chOff x="2581358" y="4496127"/>
                    <a:chExt cx="1188989" cy="128546"/>
                  </a:xfrm>
                </xdr:grpSpPr>
                <xdr:cxnSp macro="">
                  <xdr:nvCxnSpPr>
                    <xdr:cNvPr id="60" name="Straight Arrow Connector 59">
                      <a:extLst>
                        <a:ext uri="{FF2B5EF4-FFF2-40B4-BE49-F238E27FC236}">
                          <a16:creationId xmlns:a16="http://schemas.microsoft.com/office/drawing/2014/main" id="{26C8FA98-B6B9-92FA-1B16-4F08E70D9E71}"/>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1" name="TextBox 60">
                      <a:extLst>
                        <a:ext uri="{FF2B5EF4-FFF2-40B4-BE49-F238E27FC236}">
                          <a16:creationId xmlns:a16="http://schemas.microsoft.com/office/drawing/2014/main" id="{AC47A079-C026-AB20-A8FA-A723B427C873}"/>
                        </a:ext>
                      </a:extLst>
                    </xdr:cNvPr>
                    <xdr:cNvSpPr txBox="1"/>
                  </xdr:nvSpPr>
                  <xdr:spPr>
                    <a:xfrm>
                      <a:off x="2581358" y="4496127"/>
                      <a:ext cx="908093"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Ambient temperature</a:t>
                      </a:r>
                    </a:p>
                  </xdr:txBody>
                </xdr:sp>
              </xdr:grpSp>
            </xdr:grpSp>
            <xdr:grpSp>
              <xdr:nvGrpSpPr>
                <xdr:cNvPr id="45" name="Group 44">
                  <a:extLst>
                    <a:ext uri="{FF2B5EF4-FFF2-40B4-BE49-F238E27FC236}">
                      <a16:creationId xmlns:a16="http://schemas.microsoft.com/office/drawing/2014/main" id="{AB7CCE51-8711-AB48-B526-A1C5656E292A}"/>
                    </a:ext>
                  </a:extLst>
                </xdr:cNvPr>
                <xdr:cNvGrpSpPr/>
              </xdr:nvGrpSpPr>
              <xdr:grpSpPr>
                <a:xfrm flipV="1">
                  <a:off x="2798080" y="5250812"/>
                  <a:ext cx="1658123" cy="955732"/>
                  <a:chOff x="2511471" y="4309314"/>
                  <a:chExt cx="1623687" cy="946649"/>
                </a:xfrm>
              </xdr:grpSpPr>
              <xdr:cxnSp macro="">
                <xdr:nvCxnSpPr>
                  <xdr:cNvPr id="46" name="Straight Arrow Connector 45">
                    <a:extLst>
                      <a:ext uri="{FF2B5EF4-FFF2-40B4-BE49-F238E27FC236}">
                        <a16:creationId xmlns:a16="http://schemas.microsoft.com/office/drawing/2014/main" id="{EE0E7E6D-BC24-6453-A234-B00A309CCF0B}"/>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47" name="Group 46">
                    <a:extLst>
                      <a:ext uri="{FF2B5EF4-FFF2-40B4-BE49-F238E27FC236}">
                        <a16:creationId xmlns:a16="http://schemas.microsoft.com/office/drawing/2014/main" id="{8DD662D8-830A-CA33-1B4C-30C193B15633}"/>
                      </a:ext>
                    </a:extLst>
                  </xdr:cNvPr>
                  <xdr:cNvGrpSpPr/>
                </xdr:nvGrpSpPr>
                <xdr:grpSpPr>
                  <a:xfrm>
                    <a:off x="2511471" y="4371584"/>
                    <a:ext cx="1168648" cy="129297"/>
                    <a:chOff x="2582347" y="4494426"/>
                    <a:chExt cx="1188000" cy="128632"/>
                  </a:xfrm>
                </xdr:grpSpPr>
                <xdr:cxnSp macro="">
                  <xdr:nvCxnSpPr>
                    <xdr:cNvPr id="54" name="Straight Arrow Connector 53">
                      <a:extLst>
                        <a:ext uri="{FF2B5EF4-FFF2-40B4-BE49-F238E27FC236}">
                          <a16:creationId xmlns:a16="http://schemas.microsoft.com/office/drawing/2014/main" id="{E95C60FE-FB38-3853-D8AC-D980EE42B064}"/>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5" name="TextBox 54">
                      <a:extLst>
                        <a:ext uri="{FF2B5EF4-FFF2-40B4-BE49-F238E27FC236}">
                          <a16:creationId xmlns:a16="http://schemas.microsoft.com/office/drawing/2014/main" id="{522EF0A2-5DA4-F2F7-4EA8-9DCA5382D311}"/>
                        </a:ext>
                      </a:extLst>
                    </xdr:cNvPr>
                    <xdr:cNvSpPr txBox="1"/>
                  </xdr:nvSpPr>
                  <xdr:spPr>
                    <a:xfrm rot="10800000">
                      <a:off x="2598531" y="4494426"/>
                      <a:ext cx="670573"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Crucible quality</a:t>
                      </a:r>
                    </a:p>
                  </xdr:txBody>
                </xdr:sp>
              </xdr:grpSp>
              <xdr:grpSp>
                <xdr:nvGrpSpPr>
                  <xdr:cNvPr id="48" name="Group 47">
                    <a:extLst>
                      <a:ext uri="{FF2B5EF4-FFF2-40B4-BE49-F238E27FC236}">
                        <a16:creationId xmlns:a16="http://schemas.microsoft.com/office/drawing/2014/main" id="{41E16DD6-32F2-5FD2-FA00-2CB7769C9D77}"/>
                      </a:ext>
                    </a:extLst>
                  </xdr:cNvPr>
                  <xdr:cNvGrpSpPr/>
                </xdr:nvGrpSpPr>
                <xdr:grpSpPr>
                  <a:xfrm>
                    <a:off x="2690740" y="4675850"/>
                    <a:ext cx="1168646" cy="129297"/>
                    <a:chOff x="2582347" y="4494426"/>
                    <a:chExt cx="1188000" cy="128634"/>
                  </a:xfrm>
                </xdr:grpSpPr>
                <xdr:cxnSp macro="">
                  <xdr:nvCxnSpPr>
                    <xdr:cNvPr id="52" name="Straight Arrow Connector 51">
                      <a:extLst>
                        <a:ext uri="{FF2B5EF4-FFF2-40B4-BE49-F238E27FC236}">
                          <a16:creationId xmlns:a16="http://schemas.microsoft.com/office/drawing/2014/main" id="{7E0E0EF2-7CDA-9D24-7679-672312BEDCCF}"/>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3" name="TextBox 52">
                      <a:extLst>
                        <a:ext uri="{FF2B5EF4-FFF2-40B4-BE49-F238E27FC236}">
                          <a16:creationId xmlns:a16="http://schemas.microsoft.com/office/drawing/2014/main" id="{7AB3F353-5953-2634-C61F-D3208595D123}"/>
                        </a:ext>
                      </a:extLst>
                    </xdr:cNvPr>
                    <xdr:cNvSpPr txBox="1"/>
                  </xdr:nvSpPr>
                  <xdr:spPr>
                    <a:xfrm rot="10800000">
                      <a:off x="2603375" y="4494426"/>
                      <a:ext cx="793431"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Prep. error</a:t>
                      </a:r>
                    </a:p>
                  </xdr:txBody>
                </xdr:sp>
              </xdr:grpSp>
              <xdr:grpSp>
                <xdr:nvGrpSpPr>
                  <xdr:cNvPr id="49" name="Group 48">
                    <a:extLst>
                      <a:ext uri="{FF2B5EF4-FFF2-40B4-BE49-F238E27FC236}">
                        <a16:creationId xmlns:a16="http://schemas.microsoft.com/office/drawing/2014/main" id="{F721C913-7473-B11A-33F1-B88592D720F7}"/>
                      </a:ext>
                    </a:extLst>
                  </xdr:cNvPr>
                  <xdr:cNvGrpSpPr/>
                </xdr:nvGrpSpPr>
                <xdr:grpSpPr>
                  <a:xfrm>
                    <a:off x="2873627" y="4980504"/>
                    <a:ext cx="1168650" cy="129297"/>
                    <a:chOff x="2582347" y="4494747"/>
                    <a:chExt cx="1188000" cy="128632"/>
                  </a:xfrm>
                </xdr:grpSpPr>
                <xdr:cxnSp macro="">
                  <xdr:nvCxnSpPr>
                    <xdr:cNvPr id="50" name="Straight Arrow Connector 49">
                      <a:extLst>
                        <a:ext uri="{FF2B5EF4-FFF2-40B4-BE49-F238E27FC236}">
                          <a16:creationId xmlns:a16="http://schemas.microsoft.com/office/drawing/2014/main" id="{AA2129F7-4CDB-E60B-4545-F9BE3FFC431E}"/>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1" name="TextBox 50">
                      <a:extLst>
                        <a:ext uri="{FF2B5EF4-FFF2-40B4-BE49-F238E27FC236}">
                          <a16:creationId xmlns:a16="http://schemas.microsoft.com/office/drawing/2014/main" id="{5E9D515F-83D2-BD6A-E3D6-68F2C0711BB4}"/>
                        </a:ext>
                      </a:extLst>
                    </xdr:cNvPr>
                    <xdr:cNvSpPr txBox="1"/>
                  </xdr:nvSpPr>
                  <xdr:spPr>
                    <a:xfrm rot="10800000">
                      <a:off x="2591430" y="4494747"/>
                      <a:ext cx="802194"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r>
                        <a:rPr lang="en-US" sz="750"/>
                        <a:t>Coal heterogeneity</a:t>
                      </a:r>
                    </a:p>
                  </xdr:txBody>
                </xdr:sp>
              </xdr:grpSp>
            </xdr:grpSp>
          </xdr:grpSp>
          <xdr:grpSp>
            <xdr:nvGrpSpPr>
              <xdr:cNvPr id="33" name="Group 32">
                <a:extLst>
                  <a:ext uri="{FF2B5EF4-FFF2-40B4-BE49-F238E27FC236}">
                    <a16:creationId xmlns:a16="http://schemas.microsoft.com/office/drawing/2014/main" id="{293019BF-B10B-B04F-AFFE-429A696A49BF}"/>
                  </a:ext>
                </a:extLst>
              </xdr:cNvPr>
              <xdr:cNvGrpSpPr/>
            </xdr:nvGrpSpPr>
            <xdr:grpSpPr>
              <a:xfrm>
                <a:off x="36478" y="4249637"/>
                <a:ext cx="1659124" cy="956376"/>
                <a:chOff x="2510485" y="4309314"/>
                <a:chExt cx="1624673" cy="946649"/>
              </a:xfrm>
            </xdr:grpSpPr>
            <xdr:cxnSp macro="">
              <xdr:nvCxnSpPr>
                <xdr:cNvPr id="34" name="Straight Arrow Connector 33">
                  <a:extLst>
                    <a:ext uri="{FF2B5EF4-FFF2-40B4-BE49-F238E27FC236}">
                      <a16:creationId xmlns:a16="http://schemas.microsoft.com/office/drawing/2014/main" id="{C8A1E215-BF19-26A1-0247-46311063399E}"/>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35" name="Group 34">
                  <a:extLst>
                    <a:ext uri="{FF2B5EF4-FFF2-40B4-BE49-F238E27FC236}">
                      <a16:creationId xmlns:a16="http://schemas.microsoft.com/office/drawing/2014/main" id="{48F8790B-4F43-091C-04C2-CAFBCD854AFC}"/>
                    </a:ext>
                  </a:extLst>
                </xdr:cNvPr>
                <xdr:cNvGrpSpPr/>
              </xdr:nvGrpSpPr>
              <xdr:grpSpPr>
                <a:xfrm>
                  <a:off x="2510485" y="4373275"/>
                  <a:ext cx="1169617" cy="129210"/>
                  <a:chOff x="2581357" y="4496127"/>
                  <a:chExt cx="1188990" cy="128546"/>
                </a:xfrm>
              </xdr:grpSpPr>
              <xdr:cxnSp macro="">
                <xdr:nvCxnSpPr>
                  <xdr:cNvPr id="42" name="Straight Arrow Connector 41">
                    <a:extLst>
                      <a:ext uri="{FF2B5EF4-FFF2-40B4-BE49-F238E27FC236}">
                        <a16:creationId xmlns:a16="http://schemas.microsoft.com/office/drawing/2014/main" id="{203A035F-9389-6F18-6D47-0CC41842667F}"/>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43" name="TextBox 42">
                    <a:extLst>
                      <a:ext uri="{FF2B5EF4-FFF2-40B4-BE49-F238E27FC236}">
                        <a16:creationId xmlns:a16="http://schemas.microsoft.com/office/drawing/2014/main" id="{34714901-BE4A-79EE-98DF-AFD71AE56E66}"/>
                      </a:ext>
                    </a:extLst>
                  </xdr:cNvPr>
                  <xdr:cNvSpPr txBox="1"/>
                </xdr:nvSpPr>
                <xdr:spPr>
                  <a:xfrm>
                    <a:off x="2581357" y="4496127"/>
                    <a:ext cx="654756"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Handling errors</a:t>
                    </a:r>
                  </a:p>
                </xdr:txBody>
              </xdr:sp>
            </xdr:grpSp>
            <xdr:grpSp>
              <xdr:nvGrpSpPr>
                <xdr:cNvPr id="36" name="Group 35">
                  <a:extLst>
                    <a:ext uri="{FF2B5EF4-FFF2-40B4-BE49-F238E27FC236}">
                      <a16:creationId xmlns:a16="http://schemas.microsoft.com/office/drawing/2014/main" id="{02036108-FA51-539C-4777-501CD10B5AE5}"/>
                    </a:ext>
                  </a:extLst>
                </xdr:cNvPr>
                <xdr:cNvGrpSpPr/>
              </xdr:nvGrpSpPr>
              <xdr:grpSpPr>
                <a:xfrm>
                  <a:off x="2689759" y="4677540"/>
                  <a:ext cx="1169618" cy="129210"/>
                  <a:chOff x="2581357" y="4496127"/>
                  <a:chExt cx="1188990" cy="128548"/>
                </a:xfrm>
              </xdr:grpSpPr>
              <xdr:cxnSp macro="">
                <xdr:nvCxnSpPr>
                  <xdr:cNvPr id="40" name="Straight Arrow Connector 39">
                    <a:extLst>
                      <a:ext uri="{FF2B5EF4-FFF2-40B4-BE49-F238E27FC236}">
                        <a16:creationId xmlns:a16="http://schemas.microsoft.com/office/drawing/2014/main" id="{1999BFAE-CF0A-5478-9E01-6A49CF5030CB}"/>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41" name="TextBox 40">
                    <a:extLst>
                      <a:ext uri="{FF2B5EF4-FFF2-40B4-BE49-F238E27FC236}">
                        <a16:creationId xmlns:a16="http://schemas.microsoft.com/office/drawing/2014/main" id="{34C7DF5E-270D-1A5C-7884-31A0AF86A769}"/>
                      </a:ext>
                    </a:extLst>
                  </xdr:cNvPr>
                  <xdr:cNvSpPr txBox="1"/>
                </xdr:nvSpPr>
                <xdr:spPr>
                  <a:xfrm>
                    <a:off x="2581357" y="4496127"/>
                    <a:ext cx="1145181"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Reading and weighing error</a:t>
                    </a:r>
                  </a:p>
                </xdr:txBody>
              </xdr:sp>
            </xdr:grpSp>
            <xdr:grpSp>
              <xdr:nvGrpSpPr>
                <xdr:cNvPr id="37" name="Group 36">
                  <a:extLst>
                    <a:ext uri="{FF2B5EF4-FFF2-40B4-BE49-F238E27FC236}">
                      <a16:creationId xmlns:a16="http://schemas.microsoft.com/office/drawing/2014/main" id="{594C2BB4-8A3D-6CDF-C459-86B4471AB4B3}"/>
                    </a:ext>
                  </a:extLst>
                </xdr:cNvPr>
                <xdr:cNvGrpSpPr/>
              </xdr:nvGrpSpPr>
              <xdr:grpSpPr>
                <a:xfrm>
                  <a:off x="2872637" y="4981873"/>
                  <a:ext cx="1169617" cy="129210"/>
                  <a:chOff x="2581357" y="4496127"/>
                  <a:chExt cx="1188990" cy="128546"/>
                </a:xfrm>
              </xdr:grpSpPr>
              <xdr:cxnSp macro="">
                <xdr:nvCxnSpPr>
                  <xdr:cNvPr id="38" name="Straight Arrow Connector 37">
                    <a:extLst>
                      <a:ext uri="{FF2B5EF4-FFF2-40B4-BE49-F238E27FC236}">
                        <a16:creationId xmlns:a16="http://schemas.microsoft.com/office/drawing/2014/main" id="{AA4145F2-851E-3472-56E1-A027D46442DB}"/>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39" name="TextBox 38">
                    <a:extLst>
                      <a:ext uri="{FF2B5EF4-FFF2-40B4-BE49-F238E27FC236}">
                        <a16:creationId xmlns:a16="http://schemas.microsoft.com/office/drawing/2014/main" id="{5EEEA435-9CEB-77DD-0081-47C00D9EC1CB}"/>
                      </a:ext>
                    </a:extLst>
                  </xdr:cNvPr>
                  <xdr:cNvSpPr txBox="1"/>
                </xdr:nvSpPr>
                <xdr:spPr>
                  <a:xfrm>
                    <a:off x="2581357" y="4496127"/>
                    <a:ext cx="681195"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labeling</a:t>
                    </a:r>
                  </a:p>
                </xdr:txBody>
              </xdr:sp>
            </xdr:grpSp>
          </xdr:grpSp>
        </xdr:grpSp>
        <xdr:grpSp>
          <xdr:nvGrpSpPr>
            <xdr:cNvPr id="27" name="Group 26">
              <a:extLst>
                <a:ext uri="{FF2B5EF4-FFF2-40B4-BE49-F238E27FC236}">
                  <a16:creationId xmlns:a16="http://schemas.microsoft.com/office/drawing/2014/main" id="{2BDB6D9F-1EC4-3F04-5F03-F1AE9629E175}"/>
                </a:ext>
              </a:extLst>
            </xdr:cNvPr>
            <xdr:cNvGrpSpPr/>
          </xdr:nvGrpSpPr>
          <xdr:grpSpPr>
            <a:xfrm>
              <a:off x="466117" y="5056196"/>
              <a:ext cx="5292173" cy="232821"/>
              <a:chOff x="466117" y="5052709"/>
              <a:chExt cx="5292173" cy="232821"/>
            </a:xfrm>
          </xdr:grpSpPr>
          <xdr:cxnSp macro="">
            <xdr:nvCxnSpPr>
              <xdr:cNvPr id="28" name="Straight Arrow Connector 27">
                <a:extLst>
                  <a:ext uri="{FF2B5EF4-FFF2-40B4-BE49-F238E27FC236}">
                    <a16:creationId xmlns:a16="http://schemas.microsoft.com/office/drawing/2014/main" id="{DF075D68-698B-95C3-CA58-DA101B6E92FA}"/>
                  </a:ext>
                </a:extLst>
              </xdr:cNvPr>
              <xdr:cNvCxnSpPr/>
            </xdr:nvCxnSpPr>
            <xdr:spPr>
              <a:xfrm>
                <a:off x="950169" y="5167319"/>
                <a:ext cx="3826593" cy="0"/>
              </a:xfrm>
              <a:prstGeom prst="straightConnector1">
                <a:avLst/>
              </a:prstGeom>
              <a:ln w="41275" cmpd="dbl">
                <a:headEnd type="diamond" w="sm" len="sm"/>
                <a:tailEnd type="stealth" w="sm" len="lg"/>
              </a:ln>
            </xdr:spPr>
            <xdr:style>
              <a:lnRef idx="2">
                <a:schemeClr val="dk1"/>
              </a:lnRef>
              <a:fillRef idx="0">
                <a:schemeClr val="dk1"/>
              </a:fillRef>
              <a:effectRef idx="1">
                <a:schemeClr val="dk1"/>
              </a:effectRef>
              <a:fontRef idx="minor">
                <a:schemeClr val="tx1"/>
              </a:fontRef>
            </xdr:style>
          </xdr:cxnSp>
          <xdr:sp macro="" textlink="">
            <xdr:nvSpPr>
              <xdr:cNvPr id="29" name="TextBox 28">
                <a:extLst>
                  <a:ext uri="{FF2B5EF4-FFF2-40B4-BE49-F238E27FC236}">
                    <a16:creationId xmlns:a16="http://schemas.microsoft.com/office/drawing/2014/main" id="{5562894A-6AA9-D488-1BCA-C324F5FDF274}"/>
                  </a:ext>
                </a:extLst>
              </xdr:cNvPr>
              <xdr:cNvSpPr txBox="1"/>
            </xdr:nvSpPr>
            <xdr:spPr>
              <a:xfrm>
                <a:off x="466117" y="5052709"/>
                <a:ext cx="476660" cy="22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Sample</a:t>
                </a:r>
              </a:p>
            </xdr:txBody>
          </xdr:sp>
          <xdr:sp macro="" textlink="">
            <xdr:nvSpPr>
              <xdr:cNvPr id="30" name="TextBox 29">
                <a:extLst>
                  <a:ext uri="{FF2B5EF4-FFF2-40B4-BE49-F238E27FC236}">
                    <a16:creationId xmlns:a16="http://schemas.microsoft.com/office/drawing/2014/main" id="{08BEA121-5AC6-A12E-46C2-B432B9DFD123}"/>
                  </a:ext>
                </a:extLst>
              </xdr:cNvPr>
              <xdr:cNvSpPr txBox="1"/>
            </xdr:nvSpPr>
            <xdr:spPr>
              <a:xfrm>
                <a:off x="4773039" y="5052709"/>
                <a:ext cx="985251" cy="232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Moisture Content</a:t>
                </a:r>
              </a:p>
            </xdr:txBody>
          </xdr:sp>
        </xdr:grpSp>
      </xdr:grpSp>
      <xdr:grpSp>
        <xdr:nvGrpSpPr>
          <xdr:cNvPr id="19" name="Group 18">
            <a:extLst>
              <a:ext uri="{FF2B5EF4-FFF2-40B4-BE49-F238E27FC236}">
                <a16:creationId xmlns:a16="http://schemas.microsoft.com/office/drawing/2014/main" id="{5C36E6DC-CA81-FFCD-053B-619D74FA66F7}"/>
              </a:ext>
            </a:extLst>
          </xdr:cNvPr>
          <xdr:cNvGrpSpPr/>
        </xdr:nvGrpSpPr>
        <xdr:grpSpPr>
          <a:xfrm>
            <a:off x="1643113" y="4493795"/>
            <a:ext cx="3900098" cy="140872"/>
            <a:chOff x="1643113" y="4493795"/>
            <a:chExt cx="3900098" cy="140872"/>
          </a:xfrm>
        </xdr:grpSpPr>
        <xdr:sp macro="" textlink="">
          <xdr:nvSpPr>
            <xdr:cNvPr id="23" name="TextBox 22">
              <a:extLst>
                <a:ext uri="{FF2B5EF4-FFF2-40B4-BE49-F238E27FC236}">
                  <a16:creationId xmlns:a16="http://schemas.microsoft.com/office/drawing/2014/main" id="{CD698709-074E-E862-5872-0777AFB7D14C}"/>
                </a:ext>
              </a:extLst>
            </xdr:cNvPr>
            <xdr:cNvSpPr txBox="1"/>
          </xdr:nvSpPr>
          <xdr:spPr>
            <a:xfrm>
              <a:off x="16431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Human (Operator) Error</a:t>
              </a:r>
            </a:p>
          </xdr:txBody>
        </xdr:sp>
        <xdr:sp macro="" textlink="">
          <xdr:nvSpPr>
            <xdr:cNvPr id="24" name="TextBox 23">
              <a:extLst>
                <a:ext uri="{FF2B5EF4-FFF2-40B4-BE49-F238E27FC236}">
                  <a16:creationId xmlns:a16="http://schemas.microsoft.com/office/drawing/2014/main" id="{F8723B4C-4236-B678-9136-0FC95C4F67BA}"/>
                </a:ext>
              </a:extLst>
            </xdr:cNvPr>
            <xdr:cNvSpPr txBox="1"/>
          </xdr:nvSpPr>
          <xdr:spPr>
            <a:xfrm>
              <a:off x="299566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Environment</a:t>
              </a:r>
            </a:p>
          </xdr:txBody>
        </xdr:sp>
        <xdr:sp macro="" textlink="">
          <xdr:nvSpPr>
            <xdr:cNvPr id="25" name="TextBox 24">
              <a:extLst>
                <a:ext uri="{FF2B5EF4-FFF2-40B4-BE49-F238E27FC236}">
                  <a16:creationId xmlns:a16="http://schemas.microsoft.com/office/drawing/2014/main" id="{5D3E5BC8-EE9D-2642-E272-77FBAEFF04CC}"/>
                </a:ext>
              </a:extLst>
            </xdr:cNvPr>
            <xdr:cNvSpPr txBox="1"/>
          </xdr:nvSpPr>
          <xdr:spPr>
            <a:xfrm>
              <a:off x="43482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Methods</a:t>
              </a:r>
            </a:p>
          </xdr:txBody>
        </xdr:sp>
      </xdr:grpSp>
      <xdr:grpSp>
        <xdr:nvGrpSpPr>
          <xdr:cNvPr id="20" name="Group 19">
            <a:extLst>
              <a:ext uri="{FF2B5EF4-FFF2-40B4-BE49-F238E27FC236}">
                <a16:creationId xmlns:a16="http://schemas.microsoft.com/office/drawing/2014/main" id="{4F861AE6-DAD4-1DC4-08E3-DAE1BDA3D3CC}"/>
              </a:ext>
            </a:extLst>
          </xdr:cNvPr>
          <xdr:cNvGrpSpPr/>
        </xdr:nvGrpSpPr>
        <xdr:grpSpPr>
          <a:xfrm>
            <a:off x="2995663" y="6574055"/>
            <a:ext cx="2547548" cy="140872"/>
            <a:chOff x="2995663" y="6574055"/>
            <a:chExt cx="2547548" cy="140872"/>
          </a:xfrm>
        </xdr:grpSpPr>
        <xdr:sp macro="" textlink="">
          <xdr:nvSpPr>
            <xdr:cNvPr id="21" name="TextBox 20">
              <a:extLst>
                <a:ext uri="{FF2B5EF4-FFF2-40B4-BE49-F238E27FC236}">
                  <a16:creationId xmlns:a16="http://schemas.microsoft.com/office/drawing/2014/main" id="{9A496A1A-6255-BEB9-0B73-5E75167B58E8}"/>
                </a:ext>
              </a:extLst>
            </xdr:cNvPr>
            <xdr:cNvSpPr txBox="1"/>
          </xdr:nvSpPr>
          <xdr:spPr>
            <a:xfrm>
              <a:off x="2995663" y="657405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Materials</a:t>
              </a:r>
            </a:p>
          </xdr:txBody>
        </xdr:sp>
        <xdr:sp macro="" textlink="">
          <xdr:nvSpPr>
            <xdr:cNvPr id="22" name="TextBox 21">
              <a:extLst>
                <a:ext uri="{FF2B5EF4-FFF2-40B4-BE49-F238E27FC236}">
                  <a16:creationId xmlns:a16="http://schemas.microsoft.com/office/drawing/2014/main" id="{FABF60EF-FB8D-83FB-AB8D-3C789225AEDE}"/>
                </a:ext>
              </a:extLst>
            </xdr:cNvPr>
            <xdr:cNvSpPr txBox="1"/>
          </xdr:nvSpPr>
          <xdr:spPr>
            <a:xfrm>
              <a:off x="4348213" y="657405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Instruments</a:t>
              </a:r>
            </a:p>
          </xdr:txBody>
        </xdr:sp>
      </xdr:grpSp>
    </xdr:grpSp>
    <xdr:clientData/>
  </xdr:twoCellAnchor>
  <xdr:oneCellAnchor>
    <xdr:from>
      <xdr:col>0</xdr:col>
      <xdr:colOff>30078</xdr:colOff>
      <xdr:row>0</xdr:row>
      <xdr:rowOff>40113</xdr:rowOff>
    </xdr:from>
    <xdr:ext cx="396000" cy="396000"/>
    <xdr:pic>
      <xdr:nvPicPr>
        <xdr:cNvPr id="88" name="Graphic 87">
          <a:extLst>
            <a:ext uri="{FF2B5EF4-FFF2-40B4-BE49-F238E27FC236}">
              <a16:creationId xmlns:a16="http://schemas.microsoft.com/office/drawing/2014/main" id="{FE847D31-4A54-49A3-A138-F03EF2088C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78" y="40113"/>
          <a:ext cx="396000" cy="396000"/>
        </a:xfrm>
        <a:prstGeom prst="rect">
          <a:avLst/>
        </a:prstGeom>
      </xdr:spPr>
    </xdr:pic>
    <xdr:clientData/>
  </xdr:oneCellAnchor>
  <xdr:oneCellAnchor>
    <xdr:from>
      <xdr:col>60</xdr:col>
      <xdr:colOff>30078</xdr:colOff>
      <xdr:row>0</xdr:row>
      <xdr:rowOff>40113</xdr:rowOff>
    </xdr:from>
    <xdr:ext cx="396000" cy="396000"/>
    <xdr:pic>
      <xdr:nvPicPr>
        <xdr:cNvPr id="89" name="Graphic 88">
          <a:extLst>
            <a:ext uri="{FF2B5EF4-FFF2-40B4-BE49-F238E27FC236}">
              <a16:creationId xmlns:a16="http://schemas.microsoft.com/office/drawing/2014/main" id="{954E1A07-F4C3-4EB7-8CE6-5AC12F98888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45078" y="40113"/>
          <a:ext cx="396000" cy="396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49174</xdr:colOff>
      <xdr:row>14</xdr:row>
      <xdr:rowOff>144379</xdr:rowOff>
    </xdr:from>
    <xdr:to>
      <xdr:col>49</xdr:col>
      <xdr:colOff>30197</xdr:colOff>
      <xdr:row>25</xdr:row>
      <xdr:rowOff>43367</xdr:rowOff>
    </xdr:to>
    <xdr:grpSp>
      <xdr:nvGrpSpPr>
        <xdr:cNvPr id="2" name="Group 1">
          <a:extLst>
            <a:ext uri="{FF2B5EF4-FFF2-40B4-BE49-F238E27FC236}">
              <a16:creationId xmlns:a16="http://schemas.microsoft.com/office/drawing/2014/main" id="{599A4FCE-1871-46D1-B2E4-AA8B29A82D75}"/>
            </a:ext>
          </a:extLst>
        </xdr:cNvPr>
        <xdr:cNvGrpSpPr/>
      </xdr:nvGrpSpPr>
      <xdr:grpSpPr>
        <a:xfrm>
          <a:off x="620674" y="2277979"/>
          <a:ext cx="4076773" cy="1575388"/>
          <a:chOff x="590909" y="2507770"/>
          <a:chExt cx="4076773" cy="1601581"/>
        </a:xfrm>
      </xdr:grpSpPr>
      <xdr:grpSp>
        <xdr:nvGrpSpPr>
          <xdr:cNvPr id="3" name="Group 2">
            <a:extLst>
              <a:ext uri="{FF2B5EF4-FFF2-40B4-BE49-F238E27FC236}">
                <a16:creationId xmlns:a16="http://schemas.microsoft.com/office/drawing/2014/main" id="{8E05A9E2-3643-D49A-EC81-DC2A7AB5E8A4}"/>
              </a:ext>
            </a:extLst>
          </xdr:cNvPr>
          <xdr:cNvGrpSpPr/>
        </xdr:nvGrpSpPr>
        <xdr:grpSpPr>
          <a:xfrm>
            <a:off x="590909" y="2507770"/>
            <a:ext cx="4065870" cy="367639"/>
            <a:chOff x="603849" y="2223818"/>
            <a:chExt cx="4141351" cy="360000"/>
          </a:xfrm>
        </xdr:grpSpPr>
        <xdr:sp macro="" textlink="">
          <xdr:nvSpPr>
            <xdr:cNvPr id="14" name="Rectangle: Rounded Corners 13">
              <a:extLst>
                <a:ext uri="{FF2B5EF4-FFF2-40B4-BE49-F238E27FC236}">
                  <a16:creationId xmlns:a16="http://schemas.microsoft.com/office/drawing/2014/main" id="{8117C2B6-70EF-4EE7-B9C4-B4ADAB7D561B}"/>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US" sz="900">
                  <a:solidFill>
                    <a:schemeClr val="tx1"/>
                  </a:solidFill>
                  <a:latin typeface="Aptos Narrow" panose="020B0004020202020204" pitchFamily="34" charset="0"/>
                </a:rPr>
                <a:t>Sampling</a:t>
              </a:r>
            </a:p>
          </xdr:txBody>
        </xdr:sp>
        <xdr:sp macro="" textlink="">
          <xdr:nvSpPr>
            <xdr:cNvPr id="15" name="Rectangle: Rounded Corners 14">
              <a:extLst>
                <a:ext uri="{FF2B5EF4-FFF2-40B4-BE49-F238E27FC236}">
                  <a16:creationId xmlns:a16="http://schemas.microsoft.com/office/drawing/2014/main" id="{46FDA16B-D9F4-BC05-19A4-17B9BE7FD8D5}"/>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Sample Preparation</a:t>
              </a:r>
            </a:p>
            <a:p>
              <a:pPr algn="ctr"/>
              <a:r>
                <a:rPr lang="en-US" sz="700">
                  <a:solidFill>
                    <a:schemeClr val="tx1"/>
                  </a:solidFill>
                  <a:latin typeface="Aptos Narrow" panose="020B0004020202020204" pitchFamily="34" charset="0"/>
                </a:rPr>
                <a:t>(Grinding, drying, weighing, etc.)</a:t>
              </a:r>
              <a:endParaRPr lang="en-US" sz="900">
                <a:solidFill>
                  <a:schemeClr val="tx1"/>
                </a:solidFill>
                <a:latin typeface="Aptos Narrow" panose="020B0004020202020204" pitchFamily="34" charset="0"/>
              </a:endParaRPr>
            </a:p>
          </xdr:txBody>
        </xdr:sp>
        <xdr:cxnSp macro="">
          <xdr:nvCxnSpPr>
            <xdr:cNvPr id="16" name="Straight Arrow Connector 15">
              <a:extLst>
                <a:ext uri="{FF2B5EF4-FFF2-40B4-BE49-F238E27FC236}">
                  <a16:creationId xmlns:a16="http://schemas.microsoft.com/office/drawing/2014/main" id="{0A2F105E-D70B-F2AD-8692-B6CB880EF8C3}"/>
                </a:ext>
              </a:extLst>
            </xdr:cNvPr>
            <xdr:cNvCxnSpPr>
              <a:stCxn id="14" idx="3"/>
              <a:endCxn id="15"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4" name="Group 3">
            <a:extLst>
              <a:ext uri="{FF2B5EF4-FFF2-40B4-BE49-F238E27FC236}">
                <a16:creationId xmlns:a16="http://schemas.microsoft.com/office/drawing/2014/main" id="{E0DCD483-9608-8E94-F649-55AED8EE8EA1}"/>
              </a:ext>
            </a:extLst>
          </xdr:cNvPr>
          <xdr:cNvGrpSpPr/>
        </xdr:nvGrpSpPr>
        <xdr:grpSpPr>
          <a:xfrm>
            <a:off x="590909" y="3124742"/>
            <a:ext cx="4065870" cy="367638"/>
            <a:chOff x="603849" y="2223818"/>
            <a:chExt cx="4141351" cy="360000"/>
          </a:xfrm>
        </xdr:grpSpPr>
        <xdr:sp macro="" textlink="">
          <xdr:nvSpPr>
            <xdr:cNvPr id="11" name="Rectangle: Rounded Corners 10">
              <a:extLst>
                <a:ext uri="{FF2B5EF4-FFF2-40B4-BE49-F238E27FC236}">
                  <a16:creationId xmlns:a16="http://schemas.microsoft.com/office/drawing/2014/main" id="{9153BF4F-8274-2272-A930-AFFCCEBFA0A5}"/>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Cool in Desiccator</a:t>
              </a:r>
            </a:p>
            <a:p>
              <a:pPr algn="ctr"/>
              <a:r>
                <a:rPr lang="en-US" sz="700">
                  <a:solidFill>
                    <a:schemeClr val="tx1"/>
                  </a:solidFill>
                  <a:latin typeface="Aptos Narrow" panose="020B0004020202020204" pitchFamily="34" charset="0"/>
                </a:rPr>
                <a:t>(sample back to room temp.)</a:t>
              </a:r>
              <a:endParaRPr lang="en-US" sz="900">
                <a:solidFill>
                  <a:schemeClr val="tx1"/>
                </a:solidFill>
                <a:latin typeface="Aptos Narrow" panose="020B0004020202020204" pitchFamily="34" charset="0"/>
              </a:endParaRPr>
            </a:p>
          </xdr:txBody>
        </xdr:sp>
        <xdr:sp macro="" textlink="">
          <xdr:nvSpPr>
            <xdr:cNvPr id="12" name="Rectangle: Rounded Corners 11">
              <a:extLst>
                <a:ext uri="{FF2B5EF4-FFF2-40B4-BE49-F238E27FC236}">
                  <a16:creationId xmlns:a16="http://schemas.microsoft.com/office/drawing/2014/main" id="{531968F9-0746-FE3A-F378-FE1631868E42}"/>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Furnace Heating</a:t>
              </a:r>
            </a:p>
            <a:p>
              <a:pPr algn="ctr"/>
              <a:r>
                <a:rPr lang="en-US" sz="700">
                  <a:solidFill>
                    <a:schemeClr val="tx1"/>
                  </a:solidFill>
                  <a:latin typeface="Aptos Narrow" panose="020B0004020202020204" pitchFamily="34" charset="0"/>
                </a:rPr>
                <a:t>(805–825 °C for 1 hour)</a:t>
              </a:r>
              <a:endParaRPr lang="en-US" sz="900">
                <a:solidFill>
                  <a:schemeClr val="tx1"/>
                </a:solidFill>
                <a:latin typeface="Aptos Narrow" panose="020B0004020202020204" pitchFamily="34" charset="0"/>
              </a:endParaRPr>
            </a:p>
          </xdr:txBody>
        </xdr:sp>
        <xdr:cxnSp macro="">
          <xdr:nvCxnSpPr>
            <xdr:cNvPr id="13" name="Straight Arrow Connector 12">
              <a:extLst>
                <a:ext uri="{FF2B5EF4-FFF2-40B4-BE49-F238E27FC236}">
                  <a16:creationId xmlns:a16="http://schemas.microsoft.com/office/drawing/2014/main" id="{1D911AAA-4D50-2F3A-67BA-FD5744939C05}"/>
                </a:ext>
              </a:extLst>
            </xdr:cNvPr>
            <xdr:cNvCxnSpPr>
              <a:stCxn id="12" idx="1"/>
              <a:endCxn id="11" idx="3"/>
            </xdr:cNvCxnSpPr>
          </xdr:nvCxnSpPr>
          <xdr:spPr>
            <a:xfrm flipH="1">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5" name="Group 4">
            <a:extLst>
              <a:ext uri="{FF2B5EF4-FFF2-40B4-BE49-F238E27FC236}">
                <a16:creationId xmlns:a16="http://schemas.microsoft.com/office/drawing/2014/main" id="{8962705D-B6BB-F62F-4697-1A50D2C40484}"/>
              </a:ext>
            </a:extLst>
          </xdr:cNvPr>
          <xdr:cNvGrpSpPr/>
        </xdr:nvGrpSpPr>
        <xdr:grpSpPr>
          <a:xfrm>
            <a:off x="590909" y="3741713"/>
            <a:ext cx="4065870" cy="367638"/>
            <a:chOff x="603849" y="2223818"/>
            <a:chExt cx="4141351" cy="360000"/>
          </a:xfrm>
        </xdr:grpSpPr>
        <xdr:sp macro="" textlink="">
          <xdr:nvSpPr>
            <xdr:cNvPr id="8" name="Rectangle: Rounded Corners 7">
              <a:extLst>
                <a:ext uri="{FF2B5EF4-FFF2-40B4-BE49-F238E27FC236}">
                  <a16:creationId xmlns:a16="http://schemas.microsoft.com/office/drawing/2014/main" id="{EB2F5C05-B107-89A0-73E5-5D89181C5A2C}"/>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Weigh sample again after cooling</a:t>
              </a:r>
            </a:p>
          </xdr:txBody>
        </xdr:sp>
        <xdr:sp macro="" textlink="">
          <xdr:nvSpPr>
            <xdr:cNvPr id="9" name="Rectangle: Rounded Corners 8">
              <a:extLst>
                <a:ext uri="{FF2B5EF4-FFF2-40B4-BE49-F238E27FC236}">
                  <a16:creationId xmlns:a16="http://schemas.microsoft.com/office/drawing/2014/main" id="{2DAAA795-AEF7-FA89-4490-3499014062D2}"/>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b="1">
                  <a:solidFill>
                    <a:schemeClr val="tx1"/>
                  </a:solidFill>
                  <a:latin typeface="Aptos Narrow" panose="020B0004020202020204" pitchFamily="34" charset="0"/>
                </a:rPr>
                <a:t>Calculate Ash Content, %</a:t>
              </a:r>
            </a:p>
          </xdr:txBody>
        </xdr:sp>
        <xdr:cxnSp macro="">
          <xdr:nvCxnSpPr>
            <xdr:cNvPr id="10" name="Straight Arrow Connector 9">
              <a:extLst>
                <a:ext uri="{FF2B5EF4-FFF2-40B4-BE49-F238E27FC236}">
                  <a16:creationId xmlns:a16="http://schemas.microsoft.com/office/drawing/2014/main" id="{95A4A59F-AFB7-C465-617C-F36C8D964262}"/>
                </a:ext>
              </a:extLst>
            </xdr:cNvPr>
            <xdr:cNvCxnSpPr>
              <a:stCxn id="8" idx="3"/>
              <a:endCxn id="9"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xnSp macro="">
        <xdr:nvCxnSpPr>
          <xdr:cNvPr id="6" name="Connector: Elbow 5">
            <a:extLst>
              <a:ext uri="{FF2B5EF4-FFF2-40B4-BE49-F238E27FC236}">
                <a16:creationId xmlns:a16="http://schemas.microsoft.com/office/drawing/2014/main" id="{7599246F-3EF4-81AD-B16C-D6AE9DA0CCDC}"/>
              </a:ext>
            </a:extLst>
          </xdr:cNvPr>
          <xdr:cNvCxnSpPr>
            <a:stCxn id="15" idx="3"/>
            <a:endCxn id="12" idx="3"/>
          </xdr:cNvCxnSpPr>
        </xdr:nvCxnSpPr>
        <xdr:spPr>
          <a:xfrm>
            <a:off x="4656779" y="2691589"/>
            <a:ext cx="10903" cy="616972"/>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cxnSp macro="">
        <xdr:nvCxnSpPr>
          <xdr:cNvPr id="7" name="Connector: Elbow 6">
            <a:extLst>
              <a:ext uri="{FF2B5EF4-FFF2-40B4-BE49-F238E27FC236}">
                <a16:creationId xmlns:a16="http://schemas.microsoft.com/office/drawing/2014/main" id="{C78DD551-DC1C-025F-7C86-677FDD02A00F}"/>
              </a:ext>
            </a:extLst>
          </xdr:cNvPr>
          <xdr:cNvCxnSpPr>
            <a:stCxn id="11" idx="1"/>
            <a:endCxn id="8" idx="1"/>
          </xdr:cNvCxnSpPr>
        </xdr:nvCxnSpPr>
        <xdr:spPr>
          <a:xfrm rot="10800000" flipV="1">
            <a:off x="590909" y="3308560"/>
            <a:ext cx="12700" cy="616970"/>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36480</xdr:colOff>
      <xdr:row>27</xdr:row>
      <xdr:rowOff>129448</xdr:rowOff>
    </xdr:from>
    <xdr:to>
      <xdr:col>56</xdr:col>
      <xdr:colOff>75882</xdr:colOff>
      <xdr:row>41</xdr:row>
      <xdr:rowOff>33387</xdr:rowOff>
    </xdr:to>
    <xdr:grpSp>
      <xdr:nvGrpSpPr>
        <xdr:cNvPr id="17" name="Group 16">
          <a:extLst>
            <a:ext uri="{FF2B5EF4-FFF2-40B4-BE49-F238E27FC236}">
              <a16:creationId xmlns:a16="http://schemas.microsoft.com/office/drawing/2014/main" id="{805664CB-C10C-44A6-9B58-17C65F7A29F8}"/>
            </a:ext>
          </a:extLst>
        </xdr:cNvPr>
        <xdr:cNvGrpSpPr>
          <a:grpSpLocks noChangeAspect="1"/>
        </xdr:cNvGrpSpPr>
      </xdr:nvGrpSpPr>
      <xdr:grpSpPr>
        <a:xfrm>
          <a:off x="417480" y="4244248"/>
          <a:ext cx="4992402" cy="2037539"/>
          <a:chOff x="1179478" y="4493795"/>
          <a:chExt cx="5458801" cy="2221132"/>
        </a:xfrm>
      </xdr:grpSpPr>
      <xdr:grpSp>
        <xdr:nvGrpSpPr>
          <xdr:cNvPr id="18" name="Group 17">
            <a:extLst>
              <a:ext uri="{FF2B5EF4-FFF2-40B4-BE49-F238E27FC236}">
                <a16:creationId xmlns:a16="http://schemas.microsoft.com/office/drawing/2014/main" id="{8524960E-83FF-EE82-3A44-30BB95057C21}"/>
              </a:ext>
            </a:extLst>
          </xdr:cNvPr>
          <xdr:cNvGrpSpPr/>
        </xdr:nvGrpSpPr>
        <xdr:grpSpPr>
          <a:xfrm>
            <a:off x="1179478" y="4644013"/>
            <a:ext cx="5458801" cy="1929886"/>
            <a:chOff x="36478" y="4205863"/>
            <a:chExt cx="5458801" cy="1929886"/>
          </a:xfrm>
        </xdr:grpSpPr>
        <xdr:grpSp>
          <xdr:nvGrpSpPr>
            <xdr:cNvPr id="26" name="Group 25">
              <a:extLst>
                <a:ext uri="{FF2B5EF4-FFF2-40B4-BE49-F238E27FC236}">
                  <a16:creationId xmlns:a16="http://schemas.microsoft.com/office/drawing/2014/main" id="{3DAE2B20-4F0C-7939-CEE3-FADA4936722C}"/>
                </a:ext>
              </a:extLst>
            </xdr:cNvPr>
            <xdr:cNvGrpSpPr/>
          </xdr:nvGrpSpPr>
          <xdr:grpSpPr>
            <a:xfrm>
              <a:off x="36478" y="4205863"/>
              <a:ext cx="4328521" cy="1929886"/>
              <a:chOff x="36478" y="4249637"/>
              <a:chExt cx="4419719" cy="1950963"/>
            </a:xfrm>
          </xdr:grpSpPr>
          <xdr:grpSp>
            <xdr:nvGrpSpPr>
              <xdr:cNvPr id="31" name="Group 30">
                <a:extLst>
                  <a:ext uri="{FF2B5EF4-FFF2-40B4-BE49-F238E27FC236}">
                    <a16:creationId xmlns:a16="http://schemas.microsoft.com/office/drawing/2014/main" id="{BB2FA8C4-6156-EFED-D6C0-5C77CDBF8DEF}"/>
                  </a:ext>
                </a:extLst>
              </xdr:cNvPr>
              <xdr:cNvGrpSpPr/>
            </xdr:nvGrpSpPr>
            <xdr:grpSpPr>
              <a:xfrm>
                <a:off x="2798053" y="4249637"/>
                <a:ext cx="1658144" cy="1950963"/>
                <a:chOff x="2798053" y="4255581"/>
                <a:chExt cx="1658144" cy="1950963"/>
              </a:xfrm>
            </xdr:grpSpPr>
            <xdr:grpSp>
              <xdr:nvGrpSpPr>
                <xdr:cNvPr id="66" name="Group 65">
                  <a:extLst>
                    <a:ext uri="{FF2B5EF4-FFF2-40B4-BE49-F238E27FC236}">
                      <a16:creationId xmlns:a16="http://schemas.microsoft.com/office/drawing/2014/main" id="{9E443F8D-90AF-BBB0-4ED1-88C7B6363735}"/>
                    </a:ext>
                  </a:extLst>
                </xdr:cNvPr>
                <xdr:cNvGrpSpPr/>
              </xdr:nvGrpSpPr>
              <xdr:grpSpPr>
                <a:xfrm>
                  <a:off x="2798053" y="4255581"/>
                  <a:ext cx="1658129" cy="956376"/>
                  <a:chOff x="2511459" y="4309314"/>
                  <a:chExt cx="1623699" cy="946649"/>
                </a:xfrm>
              </xdr:grpSpPr>
              <xdr:cxnSp macro="">
                <xdr:nvCxnSpPr>
                  <xdr:cNvPr id="78" name="Straight Arrow Connector 77">
                    <a:extLst>
                      <a:ext uri="{FF2B5EF4-FFF2-40B4-BE49-F238E27FC236}">
                        <a16:creationId xmlns:a16="http://schemas.microsoft.com/office/drawing/2014/main" id="{CA179940-02BF-0D52-1327-83FC06D1F6B8}"/>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79" name="Group 78">
                    <a:extLst>
                      <a:ext uri="{FF2B5EF4-FFF2-40B4-BE49-F238E27FC236}">
                        <a16:creationId xmlns:a16="http://schemas.microsoft.com/office/drawing/2014/main" id="{D10683E0-3787-1179-CDE7-45D2D4899CC3}"/>
                      </a:ext>
                    </a:extLst>
                  </xdr:cNvPr>
                  <xdr:cNvGrpSpPr/>
                </xdr:nvGrpSpPr>
                <xdr:grpSpPr>
                  <a:xfrm>
                    <a:off x="2511459" y="4373275"/>
                    <a:ext cx="1168643" cy="129210"/>
                    <a:chOff x="2582347" y="4496127"/>
                    <a:chExt cx="1188000" cy="128546"/>
                  </a:xfrm>
                </xdr:grpSpPr>
                <xdr:cxnSp macro="">
                  <xdr:nvCxnSpPr>
                    <xdr:cNvPr id="86" name="Straight Arrow Connector 85">
                      <a:extLst>
                        <a:ext uri="{FF2B5EF4-FFF2-40B4-BE49-F238E27FC236}">
                          <a16:creationId xmlns:a16="http://schemas.microsoft.com/office/drawing/2014/main" id="{36884CFB-C435-0F2A-840C-6845EE0C5F30}"/>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7" name="TextBox 86">
                      <a:extLst>
                        <a:ext uri="{FF2B5EF4-FFF2-40B4-BE49-F238E27FC236}">
                          <a16:creationId xmlns:a16="http://schemas.microsoft.com/office/drawing/2014/main" id="{70BFF991-1182-7693-896E-FF29782C1C72}"/>
                        </a:ext>
                      </a:extLst>
                    </xdr:cNvPr>
                    <xdr:cNvSpPr txBox="1"/>
                  </xdr:nvSpPr>
                  <xdr:spPr>
                    <a:xfrm>
                      <a:off x="2586400" y="4496127"/>
                      <a:ext cx="926765"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Furnace Temp. profile</a:t>
                      </a:r>
                    </a:p>
                  </xdr:txBody>
                </xdr:sp>
              </xdr:grpSp>
              <xdr:grpSp>
                <xdr:nvGrpSpPr>
                  <xdr:cNvPr id="80" name="Group 79">
                    <a:extLst>
                      <a:ext uri="{FF2B5EF4-FFF2-40B4-BE49-F238E27FC236}">
                        <a16:creationId xmlns:a16="http://schemas.microsoft.com/office/drawing/2014/main" id="{D83A76AC-C56C-4C4C-C56F-03D792B3669C}"/>
                      </a:ext>
                    </a:extLst>
                  </xdr:cNvPr>
                  <xdr:cNvGrpSpPr/>
                </xdr:nvGrpSpPr>
                <xdr:grpSpPr>
                  <a:xfrm>
                    <a:off x="2689758" y="4677540"/>
                    <a:ext cx="1169616" cy="129210"/>
                    <a:chOff x="2581358" y="4496127"/>
                    <a:chExt cx="1188989" cy="128548"/>
                  </a:xfrm>
                </xdr:grpSpPr>
                <xdr:cxnSp macro="">
                  <xdr:nvCxnSpPr>
                    <xdr:cNvPr id="84" name="Straight Arrow Connector 83">
                      <a:extLst>
                        <a:ext uri="{FF2B5EF4-FFF2-40B4-BE49-F238E27FC236}">
                          <a16:creationId xmlns:a16="http://schemas.microsoft.com/office/drawing/2014/main" id="{937CAB6F-B800-9440-076B-35BC90426E1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5" name="TextBox 84">
                      <a:extLst>
                        <a:ext uri="{FF2B5EF4-FFF2-40B4-BE49-F238E27FC236}">
                          <a16:creationId xmlns:a16="http://schemas.microsoft.com/office/drawing/2014/main" id="{A33C0C44-786B-FE00-961F-D65EC315D7AB}"/>
                        </a:ext>
                      </a:extLst>
                    </xdr:cNvPr>
                    <xdr:cNvSpPr txBox="1"/>
                  </xdr:nvSpPr>
                  <xdr:spPr>
                    <a:xfrm>
                      <a:off x="2581358" y="4496127"/>
                      <a:ext cx="994392"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Drying and cooling time</a:t>
                      </a:r>
                    </a:p>
                  </xdr:txBody>
                </xdr:sp>
              </xdr:grpSp>
              <xdr:grpSp>
                <xdr:nvGrpSpPr>
                  <xdr:cNvPr id="81" name="Group 80">
                    <a:extLst>
                      <a:ext uri="{FF2B5EF4-FFF2-40B4-BE49-F238E27FC236}">
                        <a16:creationId xmlns:a16="http://schemas.microsoft.com/office/drawing/2014/main" id="{E8DABD6E-8A96-2194-B503-A1F98D9F063F}"/>
                      </a:ext>
                    </a:extLst>
                  </xdr:cNvPr>
                  <xdr:cNvGrpSpPr/>
                </xdr:nvGrpSpPr>
                <xdr:grpSpPr>
                  <a:xfrm>
                    <a:off x="2872637" y="4981873"/>
                    <a:ext cx="1169617" cy="129210"/>
                    <a:chOff x="2581357" y="4496127"/>
                    <a:chExt cx="1188990" cy="128546"/>
                  </a:xfrm>
                </xdr:grpSpPr>
                <xdr:cxnSp macro="">
                  <xdr:nvCxnSpPr>
                    <xdr:cNvPr id="82" name="Straight Arrow Connector 81">
                      <a:extLst>
                        <a:ext uri="{FF2B5EF4-FFF2-40B4-BE49-F238E27FC236}">
                          <a16:creationId xmlns:a16="http://schemas.microsoft.com/office/drawing/2014/main" id="{5EBECA7D-F8C0-902C-0931-DAB7854536A7}"/>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3" name="TextBox 82">
                      <a:extLst>
                        <a:ext uri="{FF2B5EF4-FFF2-40B4-BE49-F238E27FC236}">
                          <a16:creationId xmlns:a16="http://schemas.microsoft.com/office/drawing/2014/main" id="{B0F4885E-46D5-AB59-9D62-AAF6C4910BB8}"/>
                        </a:ext>
                      </a:extLst>
                    </xdr:cNvPr>
                    <xdr:cNvSpPr txBox="1"/>
                  </xdr:nvSpPr>
                  <xdr:spPr>
                    <a:xfrm>
                      <a:off x="2581357" y="4496127"/>
                      <a:ext cx="711696"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handling</a:t>
                      </a:r>
                    </a:p>
                  </xdr:txBody>
                </xdr:sp>
              </xdr:grpSp>
            </xdr:grpSp>
            <xdr:grpSp>
              <xdr:nvGrpSpPr>
                <xdr:cNvPr id="67" name="Group 66">
                  <a:extLst>
                    <a:ext uri="{FF2B5EF4-FFF2-40B4-BE49-F238E27FC236}">
                      <a16:creationId xmlns:a16="http://schemas.microsoft.com/office/drawing/2014/main" id="{62B889E4-74FF-A5A3-0C14-171F2EFE1CAA}"/>
                    </a:ext>
                  </a:extLst>
                </xdr:cNvPr>
                <xdr:cNvGrpSpPr/>
              </xdr:nvGrpSpPr>
              <xdr:grpSpPr>
                <a:xfrm flipV="1">
                  <a:off x="2798071" y="5250812"/>
                  <a:ext cx="1658126" cy="955732"/>
                  <a:chOff x="2511466" y="4309314"/>
                  <a:chExt cx="1623692" cy="946649"/>
                </a:xfrm>
              </xdr:grpSpPr>
              <xdr:cxnSp macro="">
                <xdr:nvCxnSpPr>
                  <xdr:cNvPr id="68" name="Straight Arrow Connector 67">
                    <a:extLst>
                      <a:ext uri="{FF2B5EF4-FFF2-40B4-BE49-F238E27FC236}">
                        <a16:creationId xmlns:a16="http://schemas.microsoft.com/office/drawing/2014/main" id="{48E41DCD-1413-4189-0082-74E3551460DD}"/>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69" name="Group 68">
                    <a:extLst>
                      <a:ext uri="{FF2B5EF4-FFF2-40B4-BE49-F238E27FC236}">
                        <a16:creationId xmlns:a16="http://schemas.microsoft.com/office/drawing/2014/main" id="{A518535D-1BC2-D9C6-8258-EE59E1982683}"/>
                      </a:ext>
                    </a:extLst>
                  </xdr:cNvPr>
                  <xdr:cNvGrpSpPr/>
                </xdr:nvGrpSpPr>
                <xdr:grpSpPr>
                  <a:xfrm>
                    <a:off x="2511466" y="4371540"/>
                    <a:ext cx="1168646" cy="129297"/>
                    <a:chOff x="2582347" y="4494417"/>
                    <a:chExt cx="1188000" cy="128633"/>
                  </a:xfrm>
                </xdr:grpSpPr>
                <xdr:cxnSp macro="">
                  <xdr:nvCxnSpPr>
                    <xdr:cNvPr id="76" name="Straight Arrow Connector 75">
                      <a:extLst>
                        <a:ext uri="{FF2B5EF4-FFF2-40B4-BE49-F238E27FC236}">
                          <a16:creationId xmlns:a16="http://schemas.microsoft.com/office/drawing/2014/main" id="{97D78D4B-C6B1-7413-9C73-1585DCFF1D7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7" name="TextBox 76">
                      <a:extLst>
                        <a:ext uri="{FF2B5EF4-FFF2-40B4-BE49-F238E27FC236}">
                          <a16:creationId xmlns:a16="http://schemas.microsoft.com/office/drawing/2014/main" id="{525E9637-B924-1773-FE5E-49FD9E17CAB6}"/>
                        </a:ext>
                      </a:extLst>
                    </xdr:cNvPr>
                    <xdr:cNvSpPr txBox="1"/>
                  </xdr:nvSpPr>
                  <xdr:spPr>
                    <a:xfrm rot="10800000">
                      <a:off x="2610604" y="4494417"/>
                      <a:ext cx="660667" cy="128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Desiccator seal</a:t>
                      </a:r>
                    </a:p>
                  </xdr:txBody>
                </xdr:sp>
              </xdr:grpSp>
              <xdr:grpSp>
                <xdr:nvGrpSpPr>
                  <xdr:cNvPr id="70" name="Group 69">
                    <a:extLst>
                      <a:ext uri="{FF2B5EF4-FFF2-40B4-BE49-F238E27FC236}">
                        <a16:creationId xmlns:a16="http://schemas.microsoft.com/office/drawing/2014/main" id="{7A946FCE-1331-C5CF-766B-500B457FC89F}"/>
                      </a:ext>
                    </a:extLst>
                  </xdr:cNvPr>
                  <xdr:cNvGrpSpPr/>
                </xdr:nvGrpSpPr>
                <xdr:grpSpPr>
                  <a:xfrm>
                    <a:off x="2690733" y="4675850"/>
                    <a:ext cx="1168646" cy="129297"/>
                    <a:chOff x="2582347" y="4494426"/>
                    <a:chExt cx="1188000" cy="128634"/>
                  </a:xfrm>
                </xdr:grpSpPr>
                <xdr:cxnSp macro="">
                  <xdr:nvCxnSpPr>
                    <xdr:cNvPr id="74" name="Straight Arrow Connector 73">
                      <a:extLst>
                        <a:ext uri="{FF2B5EF4-FFF2-40B4-BE49-F238E27FC236}">
                          <a16:creationId xmlns:a16="http://schemas.microsoft.com/office/drawing/2014/main" id="{204DEC22-AC3E-E141-ADC9-9BB1B162268A}"/>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5" name="TextBox 74">
                      <a:extLst>
                        <a:ext uri="{FF2B5EF4-FFF2-40B4-BE49-F238E27FC236}">
                          <a16:creationId xmlns:a16="http://schemas.microsoft.com/office/drawing/2014/main" id="{26730351-A6E8-1363-A2E8-3ACAC4265CF4}"/>
                        </a:ext>
                      </a:extLst>
                    </xdr:cNvPr>
                    <xdr:cNvSpPr txBox="1"/>
                  </xdr:nvSpPr>
                  <xdr:spPr>
                    <a:xfrm rot="10800000">
                      <a:off x="2606226" y="4494426"/>
                      <a:ext cx="473462"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Calibration</a:t>
                      </a:r>
                    </a:p>
                  </xdr:txBody>
                </xdr:sp>
              </xdr:grpSp>
              <xdr:grpSp>
                <xdr:nvGrpSpPr>
                  <xdr:cNvPr id="71" name="Group 70">
                    <a:extLst>
                      <a:ext uri="{FF2B5EF4-FFF2-40B4-BE49-F238E27FC236}">
                        <a16:creationId xmlns:a16="http://schemas.microsoft.com/office/drawing/2014/main" id="{2D1FC59E-8013-EB01-E321-C0936295AB7A}"/>
                      </a:ext>
                    </a:extLst>
                  </xdr:cNvPr>
                  <xdr:cNvGrpSpPr/>
                </xdr:nvGrpSpPr>
                <xdr:grpSpPr>
                  <a:xfrm>
                    <a:off x="2873621" y="4980466"/>
                    <a:ext cx="1168648" cy="129297"/>
                    <a:chOff x="2582347" y="4494708"/>
                    <a:chExt cx="1188000" cy="128632"/>
                  </a:xfrm>
                </xdr:grpSpPr>
                <xdr:cxnSp macro="">
                  <xdr:nvCxnSpPr>
                    <xdr:cNvPr id="72" name="Straight Arrow Connector 71">
                      <a:extLst>
                        <a:ext uri="{FF2B5EF4-FFF2-40B4-BE49-F238E27FC236}">
                          <a16:creationId xmlns:a16="http://schemas.microsoft.com/office/drawing/2014/main" id="{753B7586-00AA-D25D-5019-B336DE4332BD}"/>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3" name="TextBox 72">
                      <a:extLst>
                        <a:ext uri="{FF2B5EF4-FFF2-40B4-BE49-F238E27FC236}">
                          <a16:creationId xmlns:a16="http://schemas.microsoft.com/office/drawing/2014/main" id="{4E04E748-702E-3ACF-0BA8-50D6C007DEED}"/>
                        </a:ext>
                      </a:extLst>
                    </xdr:cNvPr>
                    <xdr:cNvSpPr txBox="1"/>
                  </xdr:nvSpPr>
                  <xdr:spPr>
                    <a:xfrm rot="10800000">
                      <a:off x="2600602" y="4494708"/>
                      <a:ext cx="756229"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pPr algn="l"/>
                      <a:r>
                        <a:rPr lang="en-US" sz="750"/>
                        <a:t>Balance accuracy</a:t>
                      </a:r>
                    </a:p>
                  </xdr:txBody>
                </xdr:sp>
              </xdr:grpSp>
            </xdr:grpSp>
          </xdr:grpSp>
          <xdr:grpSp>
            <xdr:nvGrpSpPr>
              <xdr:cNvPr id="32" name="Group 31">
                <a:extLst>
                  <a:ext uri="{FF2B5EF4-FFF2-40B4-BE49-F238E27FC236}">
                    <a16:creationId xmlns:a16="http://schemas.microsoft.com/office/drawing/2014/main" id="{5BFB6EDB-FCF3-E7A0-2C3D-5DC7E5A39CB3}"/>
                  </a:ext>
                </a:extLst>
              </xdr:cNvPr>
              <xdr:cNvGrpSpPr/>
            </xdr:nvGrpSpPr>
            <xdr:grpSpPr>
              <a:xfrm>
                <a:off x="1416769" y="4249637"/>
                <a:ext cx="1659143" cy="1950963"/>
                <a:chOff x="2797060" y="4255581"/>
                <a:chExt cx="1659143" cy="1950963"/>
              </a:xfrm>
            </xdr:grpSpPr>
            <xdr:grpSp>
              <xdr:nvGrpSpPr>
                <xdr:cNvPr id="44" name="Group 43">
                  <a:extLst>
                    <a:ext uri="{FF2B5EF4-FFF2-40B4-BE49-F238E27FC236}">
                      <a16:creationId xmlns:a16="http://schemas.microsoft.com/office/drawing/2014/main" id="{628CE9CC-2891-F744-CE6F-63B8D9766C3D}"/>
                    </a:ext>
                  </a:extLst>
                </xdr:cNvPr>
                <xdr:cNvGrpSpPr/>
              </xdr:nvGrpSpPr>
              <xdr:grpSpPr>
                <a:xfrm>
                  <a:off x="2797060" y="4255581"/>
                  <a:ext cx="1659123" cy="956376"/>
                  <a:chOff x="2510486" y="4309314"/>
                  <a:chExt cx="1624672" cy="946649"/>
                </a:xfrm>
              </xdr:grpSpPr>
              <xdr:cxnSp macro="">
                <xdr:nvCxnSpPr>
                  <xdr:cNvPr id="56" name="Straight Arrow Connector 55">
                    <a:extLst>
                      <a:ext uri="{FF2B5EF4-FFF2-40B4-BE49-F238E27FC236}">
                        <a16:creationId xmlns:a16="http://schemas.microsoft.com/office/drawing/2014/main" id="{AD615B1A-723C-6B33-7181-8FE157025FB2}"/>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57" name="Group 56">
                    <a:extLst>
                      <a:ext uri="{FF2B5EF4-FFF2-40B4-BE49-F238E27FC236}">
                        <a16:creationId xmlns:a16="http://schemas.microsoft.com/office/drawing/2014/main" id="{E35DC622-C450-BBE1-C7C6-A28C15F1E5C6}"/>
                      </a:ext>
                    </a:extLst>
                  </xdr:cNvPr>
                  <xdr:cNvGrpSpPr/>
                </xdr:nvGrpSpPr>
                <xdr:grpSpPr>
                  <a:xfrm>
                    <a:off x="2510486" y="4373275"/>
                    <a:ext cx="1169616" cy="129210"/>
                    <a:chOff x="2581358" y="4496127"/>
                    <a:chExt cx="1188989" cy="128546"/>
                  </a:xfrm>
                </xdr:grpSpPr>
                <xdr:cxnSp macro="">
                  <xdr:nvCxnSpPr>
                    <xdr:cNvPr id="64" name="Straight Arrow Connector 63">
                      <a:extLst>
                        <a:ext uri="{FF2B5EF4-FFF2-40B4-BE49-F238E27FC236}">
                          <a16:creationId xmlns:a16="http://schemas.microsoft.com/office/drawing/2014/main" id="{C6D2166F-95D9-09CB-87C9-BF14DD540C68}"/>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5" name="TextBox 64">
                      <a:extLst>
                        <a:ext uri="{FF2B5EF4-FFF2-40B4-BE49-F238E27FC236}">
                          <a16:creationId xmlns:a16="http://schemas.microsoft.com/office/drawing/2014/main" id="{80DE37E8-224B-521C-923E-4452AA86A77B}"/>
                        </a:ext>
                      </a:extLst>
                    </xdr:cNvPr>
                    <xdr:cNvSpPr txBox="1"/>
                  </xdr:nvSpPr>
                  <xdr:spPr>
                    <a:xfrm>
                      <a:off x="2581358" y="4496127"/>
                      <a:ext cx="660172"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Humidity in Lab</a:t>
                      </a:r>
                    </a:p>
                  </xdr:txBody>
                </xdr:sp>
              </xdr:grpSp>
              <xdr:grpSp>
                <xdr:nvGrpSpPr>
                  <xdr:cNvPr id="58" name="Group 57">
                    <a:extLst>
                      <a:ext uri="{FF2B5EF4-FFF2-40B4-BE49-F238E27FC236}">
                        <a16:creationId xmlns:a16="http://schemas.microsoft.com/office/drawing/2014/main" id="{A02D7453-EE99-02A8-4C12-D857D8BFD017}"/>
                      </a:ext>
                    </a:extLst>
                  </xdr:cNvPr>
                  <xdr:cNvGrpSpPr/>
                </xdr:nvGrpSpPr>
                <xdr:grpSpPr>
                  <a:xfrm>
                    <a:off x="2689758" y="4677540"/>
                    <a:ext cx="1169616" cy="129210"/>
                    <a:chOff x="2581358" y="4496127"/>
                    <a:chExt cx="1188989" cy="128548"/>
                  </a:xfrm>
                </xdr:grpSpPr>
                <xdr:cxnSp macro="">
                  <xdr:nvCxnSpPr>
                    <xdr:cNvPr id="62" name="Straight Arrow Connector 61">
                      <a:extLst>
                        <a:ext uri="{FF2B5EF4-FFF2-40B4-BE49-F238E27FC236}">
                          <a16:creationId xmlns:a16="http://schemas.microsoft.com/office/drawing/2014/main" id="{EAC782BD-9B1D-D38C-6591-5835B0FA0FE7}"/>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3" name="TextBox 62">
                      <a:extLst>
                        <a:ext uri="{FF2B5EF4-FFF2-40B4-BE49-F238E27FC236}">
                          <a16:creationId xmlns:a16="http://schemas.microsoft.com/office/drawing/2014/main" id="{23078313-E842-07A1-DFA7-F634281371AE}"/>
                        </a:ext>
                      </a:extLst>
                    </xdr:cNvPr>
                    <xdr:cNvSpPr txBox="1"/>
                  </xdr:nvSpPr>
                  <xdr:spPr>
                    <a:xfrm>
                      <a:off x="2581358" y="4496127"/>
                      <a:ext cx="743905"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Airflow and drafts</a:t>
                      </a:r>
                    </a:p>
                  </xdr:txBody>
                </xdr:sp>
              </xdr:grpSp>
              <xdr:grpSp>
                <xdr:nvGrpSpPr>
                  <xdr:cNvPr id="59" name="Group 58">
                    <a:extLst>
                      <a:ext uri="{FF2B5EF4-FFF2-40B4-BE49-F238E27FC236}">
                        <a16:creationId xmlns:a16="http://schemas.microsoft.com/office/drawing/2014/main" id="{ADC073BC-0D9E-9EFF-418F-EA87B76C3119}"/>
                      </a:ext>
                    </a:extLst>
                  </xdr:cNvPr>
                  <xdr:cNvGrpSpPr/>
                </xdr:nvGrpSpPr>
                <xdr:grpSpPr>
                  <a:xfrm>
                    <a:off x="2872638" y="4981873"/>
                    <a:ext cx="1169616" cy="129210"/>
                    <a:chOff x="2581358" y="4496127"/>
                    <a:chExt cx="1188989" cy="128546"/>
                  </a:xfrm>
                </xdr:grpSpPr>
                <xdr:cxnSp macro="">
                  <xdr:nvCxnSpPr>
                    <xdr:cNvPr id="60" name="Straight Arrow Connector 59">
                      <a:extLst>
                        <a:ext uri="{FF2B5EF4-FFF2-40B4-BE49-F238E27FC236}">
                          <a16:creationId xmlns:a16="http://schemas.microsoft.com/office/drawing/2014/main" id="{23804FF3-8206-323A-84A2-8E273BF90397}"/>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1" name="TextBox 60">
                      <a:extLst>
                        <a:ext uri="{FF2B5EF4-FFF2-40B4-BE49-F238E27FC236}">
                          <a16:creationId xmlns:a16="http://schemas.microsoft.com/office/drawing/2014/main" id="{60243748-7935-C276-85E5-8E7A02C62355}"/>
                        </a:ext>
                      </a:extLst>
                    </xdr:cNvPr>
                    <xdr:cNvSpPr txBox="1"/>
                  </xdr:nvSpPr>
                  <xdr:spPr>
                    <a:xfrm>
                      <a:off x="2581358" y="4496127"/>
                      <a:ext cx="908093"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Ambient temperature</a:t>
                      </a:r>
                    </a:p>
                  </xdr:txBody>
                </xdr:sp>
              </xdr:grpSp>
            </xdr:grpSp>
            <xdr:grpSp>
              <xdr:nvGrpSpPr>
                <xdr:cNvPr id="45" name="Group 44">
                  <a:extLst>
                    <a:ext uri="{FF2B5EF4-FFF2-40B4-BE49-F238E27FC236}">
                      <a16:creationId xmlns:a16="http://schemas.microsoft.com/office/drawing/2014/main" id="{76838F64-6E78-6A28-055C-A4E30C027B01}"/>
                    </a:ext>
                  </a:extLst>
                </xdr:cNvPr>
                <xdr:cNvGrpSpPr/>
              </xdr:nvGrpSpPr>
              <xdr:grpSpPr>
                <a:xfrm flipV="1">
                  <a:off x="2798080" y="5250812"/>
                  <a:ext cx="1658123" cy="955732"/>
                  <a:chOff x="2511471" y="4309314"/>
                  <a:chExt cx="1623687" cy="946649"/>
                </a:xfrm>
              </xdr:grpSpPr>
              <xdr:cxnSp macro="">
                <xdr:nvCxnSpPr>
                  <xdr:cNvPr id="46" name="Straight Arrow Connector 45">
                    <a:extLst>
                      <a:ext uri="{FF2B5EF4-FFF2-40B4-BE49-F238E27FC236}">
                        <a16:creationId xmlns:a16="http://schemas.microsoft.com/office/drawing/2014/main" id="{ED9BA40B-2507-A6CA-DF85-09AF428C45F9}"/>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47" name="Group 46">
                    <a:extLst>
                      <a:ext uri="{FF2B5EF4-FFF2-40B4-BE49-F238E27FC236}">
                        <a16:creationId xmlns:a16="http://schemas.microsoft.com/office/drawing/2014/main" id="{1BEB5FE9-EC70-31A3-95B6-8A149E33EBF5}"/>
                      </a:ext>
                    </a:extLst>
                  </xdr:cNvPr>
                  <xdr:cNvGrpSpPr/>
                </xdr:nvGrpSpPr>
                <xdr:grpSpPr>
                  <a:xfrm>
                    <a:off x="2511471" y="4371584"/>
                    <a:ext cx="1168648" cy="129297"/>
                    <a:chOff x="2582347" y="4494426"/>
                    <a:chExt cx="1188000" cy="128632"/>
                  </a:xfrm>
                </xdr:grpSpPr>
                <xdr:cxnSp macro="">
                  <xdr:nvCxnSpPr>
                    <xdr:cNvPr id="54" name="Straight Arrow Connector 53">
                      <a:extLst>
                        <a:ext uri="{FF2B5EF4-FFF2-40B4-BE49-F238E27FC236}">
                          <a16:creationId xmlns:a16="http://schemas.microsoft.com/office/drawing/2014/main" id="{0AABA820-F399-D43F-4CB1-8A90EC07FEA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5" name="TextBox 54">
                      <a:extLst>
                        <a:ext uri="{FF2B5EF4-FFF2-40B4-BE49-F238E27FC236}">
                          <a16:creationId xmlns:a16="http://schemas.microsoft.com/office/drawing/2014/main" id="{E4B60E71-9D4F-1745-9EF4-FD48950C7C1D}"/>
                        </a:ext>
                      </a:extLst>
                    </xdr:cNvPr>
                    <xdr:cNvSpPr txBox="1"/>
                  </xdr:nvSpPr>
                  <xdr:spPr>
                    <a:xfrm rot="10800000">
                      <a:off x="2598531" y="4494426"/>
                      <a:ext cx="670573"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Crucible quality</a:t>
                      </a:r>
                    </a:p>
                  </xdr:txBody>
                </xdr:sp>
              </xdr:grpSp>
              <xdr:grpSp>
                <xdr:nvGrpSpPr>
                  <xdr:cNvPr id="48" name="Group 47">
                    <a:extLst>
                      <a:ext uri="{FF2B5EF4-FFF2-40B4-BE49-F238E27FC236}">
                        <a16:creationId xmlns:a16="http://schemas.microsoft.com/office/drawing/2014/main" id="{4ECE7A6C-BA7D-220C-5B42-B97E7CB2B777}"/>
                      </a:ext>
                    </a:extLst>
                  </xdr:cNvPr>
                  <xdr:cNvGrpSpPr/>
                </xdr:nvGrpSpPr>
                <xdr:grpSpPr>
                  <a:xfrm>
                    <a:off x="2690740" y="4675850"/>
                    <a:ext cx="1168646" cy="129297"/>
                    <a:chOff x="2582347" y="4494426"/>
                    <a:chExt cx="1188000" cy="128634"/>
                  </a:xfrm>
                </xdr:grpSpPr>
                <xdr:cxnSp macro="">
                  <xdr:nvCxnSpPr>
                    <xdr:cNvPr id="52" name="Straight Arrow Connector 51">
                      <a:extLst>
                        <a:ext uri="{FF2B5EF4-FFF2-40B4-BE49-F238E27FC236}">
                          <a16:creationId xmlns:a16="http://schemas.microsoft.com/office/drawing/2014/main" id="{7E2F3F68-8645-3C88-1AFF-7ADFBBACE52A}"/>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3" name="TextBox 52">
                      <a:extLst>
                        <a:ext uri="{FF2B5EF4-FFF2-40B4-BE49-F238E27FC236}">
                          <a16:creationId xmlns:a16="http://schemas.microsoft.com/office/drawing/2014/main" id="{D14F590D-EB36-2C52-C016-98FE776ED16D}"/>
                        </a:ext>
                      </a:extLst>
                    </xdr:cNvPr>
                    <xdr:cNvSpPr txBox="1"/>
                  </xdr:nvSpPr>
                  <xdr:spPr>
                    <a:xfrm rot="10800000">
                      <a:off x="2603375" y="4494426"/>
                      <a:ext cx="793431"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Prep. error</a:t>
                      </a:r>
                    </a:p>
                  </xdr:txBody>
                </xdr:sp>
              </xdr:grpSp>
              <xdr:grpSp>
                <xdr:nvGrpSpPr>
                  <xdr:cNvPr id="49" name="Group 48">
                    <a:extLst>
                      <a:ext uri="{FF2B5EF4-FFF2-40B4-BE49-F238E27FC236}">
                        <a16:creationId xmlns:a16="http://schemas.microsoft.com/office/drawing/2014/main" id="{78AF1E3E-9B59-D393-1CB4-5B768AD8F907}"/>
                      </a:ext>
                    </a:extLst>
                  </xdr:cNvPr>
                  <xdr:cNvGrpSpPr/>
                </xdr:nvGrpSpPr>
                <xdr:grpSpPr>
                  <a:xfrm>
                    <a:off x="2873627" y="4980504"/>
                    <a:ext cx="1168650" cy="129297"/>
                    <a:chOff x="2582347" y="4494747"/>
                    <a:chExt cx="1188000" cy="128632"/>
                  </a:xfrm>
                </xdr:grpSpPr>
                <xdr:cxnSp macro="">
                  <xdr:nvCxnSpPr>
                    <xdr:cNvPr id="50" name="Straight Arrow Connector 49">
                      <a:extLst>
                        <a:ext uri="{FF2B5EF4-FFF2-40B4-BE49-F238E27FC236}">
                          <a16:creationId xmlns:a16="http://schemas.microsoft.com/office/drawing/2014/main" id="{1797723E-C79D-1F0C-8ED9-1F31E98EF817}"/>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1" name="TextBox 50">
                      <a:extLst>
                        <a:ext uri="{FF2B5EF4-FFF2-40B4-BE49-F238E27FC236}">
                          <a16:creationId xmlns:a16="http://schemas.microsoft.com/office/drawing/2014/main" id="{4EB3ABAE-2744-E4E2-A3AF-CFECF20C2CBC}"/>
                        </a:ext>
                      </a:extLst>
                    </xdr:cNvPr>
                    <xdr:cNvSpPr txBox="1"/>
                  </xdr:nvSpPr>
                  <xdr:spPr>
                    <a:xfrm rot="10800000">
                      <a:off x="2591430" y="4494747"/>
                      <a:ext cx="802194"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r>
                        <a:rPr lang="en-US" sz="750"/>
                        <a:t>Coal heterogeneity</a:t>
                      </a:r>
                    </a:p>
                  </xdr:txBody>
                </xdr:sp>
              </xdr:grpSp>
            </xdr:grpSp>
          </xdr:grpSp>
          <xdr:grpSp>
            <xdr:nvGrpSpPr>
              <xdr:cNvPr id="33" name="Group 32">
                <a:extLst>
                  <a:ext uri="{FF2B5EF4-FFF2-40B4-BE49-F238E27FC236}">
                    <a16:creationId xmlns:a16="http://schemas.microsoft.com/office/drawing/2014/main" id="{3BEA524C-870A-165F-CDAE-02B0E58C6D30}"/>
                  </a:ext>
                </a:extLst>
              </xdr:cNvPr>
              <xdr:cNvGrpSpPr/>
            </xdr:nvGrpSpPr>
            <xdr:grpSpPr>
              <a:xfrm>
                <a:off x="36478" y="4249637"/>
                <a:ext cx="1659124" cy="956376"/>
                <a:chOff x="2510485" y="4309314"/>
                <a:chExt cx="1624673" cy="946649"/>
              </a:xfrm>
            </xdr:grpSpPr>
            <xdr:cxnSp macro="">
              <xdr:nvCxnSpPr>
                <xdr:cNvPr id="34" name="Straight Arrow Connector 33">
                  <a:extLst>
                    <a:ext uri="{FF2B5EF4-FFF2-40B4-BE49-F238E27FC236}">
                      <a16:creationId xmlns:a16="http://schemas.microsoft.com/office/drawing/2014/main" id="{E8EF2252-5D09-1DB4-8BCC-C6490C5BFC2B}"/>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35" name="Group 34">
                  <a:extLst>
                    <a:ext uri="{FF2B5EF4-FFF2-40B4-BE49-F238E27FC236}">
                      <a16:creationId xmlns:a16="http://schemas.microsoft.com/office/drawing/2014/main" id="{545F7E01-93E7-EC3E-2B65-49C0D3B9FF4F}"/>
                    </a:ext>
                  </a:extLst>
                </xdr:cNvPr>
                <xdr:cNvGrpSpPr/>
              </xdr:nvGrpSpPr>
              <xdr:grpSpPr>
                <a:xfrm>
                  <a:off x="2510485" y="4373275"/>
                  <a:ext cx="1169617" cy="129210"/>
                  <a:chOff x="2581357" y="4496127"/>
                  <a:chExt cx="1188990" cy="128546"/>
                </a:xfrm>
              </xdr:grpSpPr>
              <xdr:cxnSp macro="">
                <xdr:nvCxnSpPr>
                  <xdr:cNvPr id="42" name="Straight Arrow Connector 41">
                    <a:extLst>
                      <a:ext uri="{FF2B5EF4-FFF2-40B4-BE49-F238E27FC236}">
                        <a16:creationId xmlns:a16="http://schemas.microsoft.com/office/drawing/2014/main" id="{E48AF21A-F5CA-1CB5-95F4-7A8B3384668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43" name="TextBox 42">
                    <a:extLst>
                      <a:ext uri="{FF2B5EF4-FFF2-40B4-BE49-F238E27FC236}">
                        <a16:creationId xmlns:a16="http://schemas.microsoft.com/office/drawing/2014/main" id="{713BBB7A-2F97-9AE1-BF80-7464EB6B1ECB}"/>
                      </a:ext>
                    </a:extLst>
                  </xdr:cNvPr>
                  <xdr:cNvSpPr txBox="1"/>
                </xdr:nvSpPr>
                <xdr:spPr>
                  <a:xfrm>
                    <a:off x="2581357" y="4496127"/>
                    <a:ext cx="654756"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Handling errors</a:t>
                    </a:r>
                  </a:p>
                </xdr:txBody>
              </xdr:sp>
            </xdr:grpSp>
            <xdr:grpSp>
              <xdr:nvGrpSpPr>
                <xdr:cNvPr id="36" name="Group 35">
                  <a:extLst>
                    <a:ext uri="{FF2B5EF4-FFF2-40B4-BE49-F238E27FC236}">
                      <a16:creationId xmlns:a16="http://schemas.microsoft.com/office/drawing/2014/main" id="{3826F09E-2067-7D64-0CC0-12E417B04544}"/>
                    </a:ext>
                  </a:extLst>
                </xdr:cNvPr>
                <xdr:cNvGrpSpPr/>
              </xdr:nvGrpSpPr>
              <xdr:grpSpPr>
                <a:xfrm>
                  <a:off x="2689759" y="4677540"/>
                  <a:ext cx="1169618" cy="129210"/>
                  <a:chOff x="2581357" y="4496127"/>
                  <a:chExt cx="1188990" cy="128548"/>
                </a:xfrm>
              </xdr:grpSpPr>
              <xdr:cxnSp macro="">
                <xdr:nvCxnSpPr>
                  <xdr:cNvPr id="40" name="Straight Arrow Connector 39">
                    <a:extLst>
                      <a:ext uri="{FF2B5EF4-FFF2-40B4-BE49-F238E27FC236}">
                        <a16:creationId xmlns:a16="http://schemas.microsoft.com/office/drawing/2014/main" id="{E00CCBE3-9B3F-6CD4-B657-C96F3BE7E4FA}"/>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41" name="TextBox 40">
                    <a:extLst>
                      <a:ext uri="{FF2B5EF4-FFF2-40B4-BE49-F238E27FC236}">
                        <a16:creationId xmlns:a16="http://schemas.microsoft.com/office/drawing/2014/main" id="{30046619-2626-F7AF-D0BF-12E3CD275411}"/>
                      </a:ext>
                    </a:extLst>
                  </xdr:cNvPr>
                  <xdr:cNvSpPr txBox="1"/>
                </xdr:nvSpPr>
                <xdr:spPr>
                  <a:xfrm>
                    <a:off x="2581357" y="4496127"/>
                    <a:ext cx="1145181"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Reading and weighing error</a:t>
                    </a:r>
                  </a:p>
                </xdr:txBody>
              </xdr:sp>
            </xdr:grpSp>
            <xdr:grpSp>
              <xdr:nvGrpSpPr>
                <xdr:cNvPr id="37" name="Group 36">
                  <a:extLst>
                    <a:ext uri="{FF2B5EF4-FFF2-40B4-BE49-F238E27FC236}">
                      <a16:creationId xmlns:a16="http://schemas.microsoft.com/office/drawing/2014/main" id="{D91AD8CE-C580-673C-7880-1EB362AF0BCB}"/>
                    </a:ext>
                  </a:extLst>
                </xdr:cNvPr>
                <xdr:cNvGrpSpPr/>
              </xdr:nvGrpSpPr>
              <xdr:grpSpPr>
                <a:xfrm>
                  <a:off x="2872637" y="4981873"/>
                  <a:ext cx="1169617" cy="129210"/>
                  <a:chOff x="2581357" y="4496127"/>
                  <a:chExt cx="1188990" cy="128546"/>
                </a:xfrm>
              </xdr:grpSpPr>
              <xdr:cxnSp macro="">
                <xdr:nvCxnSpPr>
                  <xdr:cNvPr id="38" name="Straight Arrow Connector 37">
                    <a:extLst>
                      <a:ext uri="{FF2B5EF4-FFF2-40B4-BE49-F238E27FC236}">
                        <a16:creationId xmlns:a16="http://schemas.microsoft.com/office/drawing/2014/main" id="{1D1556A4-ED11-BFA5-421D-8DAE748B35A3}"/>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39" name="TextBox 38">
                    <a:extLst>
                      <a:ext uri="{FF2B5EF4-FFF2-40B4-BE49-F238E27FC236}">
                        <a16:creationId xmlns:a16="http://schemas.microsoft.com/office/drawing/2014/main" id="{3FC84205-D7E9-3786-6AAC-4B02D7A6650B}"/>
                      </a:ext>
                    </a:extLst>
                  </xdr:cNvPr>
                  <xdr:cNvSpPr txBox="1"/>
                </xdr:nvSpPr>
                <xdr:spPr>
                  <a:xfrm>
                    <a:off x="2581357" y="4496127"/>
                    <a:ext cx="681195"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labeling</a:t>
                    </a:r>
                  </a:p>
                </xdr:txBody>
              </xdr:sp>
            </xdr:grpSp>
          </xdr:grpSp>
        </xdr:grpSp>
        <xdr:grpSp>
          <xdr:nvGrpSpPr>
            <xdr:cNvPr id="27" name="Group 26">
              <a:extLst>
                <a:ext uri="{FF2B5EF4-FFF2-40B4-BE49-F238E27FC236}">
                  <a16:creationId xmlns:a16="http://schemas.microsoft.com/office/drawing/2014/main" id="{8A20D7C2-8DB9-2405-04A8-741752DCEEA4}"/>
                </a:ext>
              </a:extLst>
            </xdr:cNvPr>
            <xdr:cNvGrpSpPr/>
          </xdr:nvGrpSpPr>
          <xdr:grpSpPr>
            <a:xfrm>
              <a:off x="466117" y="5056196"/>
              <a:ext cx="5029162" cy="229221"/>
              <a:chOff x="466117" y="5052709"/>
              <a:chExt cx="5029162" cy="229221"/>
            </a:xfrm>
          </xdr:grpSpPr>
          <xdr:cxnSp macro="">
            <xdr:nvCxnSpPr>
              <xdr:cNvPr id="28" name="Straight Arrow Connector 27">
                <a:extLst>
                  <a:ext uri="{FF2B5EF4-FFF2-40B4-BE49-F238E27FC236}">
                    <a16:creationId xmlns:a16="http://schemas.microsoft.com/office/drawing/2014/main" id="{511C2129-B98B-E3C8-3EB6-8784DDD3562B}"/>
                  </a:ext>
                </a:extLst>
              </xdr:cNvPr>
              <xdr:cNvCxnSpPr/>
            </xdr:nvCxnSpPr>
            <xdr:spPr>
              <a:xfrm>
                <a:off x="950169" y="5167319"/>
                <a:ext cx="3826593" cy="0"/>
              </a:xfrm>
              <a:prstGeom prst="straightConnector1">
                <a:avLst/>
              </a:prstGeom>
              <a:ln w="41275" cmpd="dbl">
                <a:headEnd type="diamond" w="sm" len="sm"/>
                <a:tailEnd type="stealth" w="sm" len="lg"/>
              </a:ln>
            </xdr:spPr>
            <xdr:style>
              <a:lnRef idx="2">
                <a:schemeClr val="dk1"/>
              </a:lnRef>
              <a:fillRef idx="0">
                <a:schemeClr val="dk1"/>
              </a:fillRef>
              <a:effectRef idx="1">
                <a:schemeClr val="dk1"/>
              </a:effectRef>
              <a:fontRef idx="minor">
                <a:schemeClr val="tx1"/>
              </a:fontRef>
            </xdr:style>
          </xdr:cxnSp>
          <xdr:sp macro="" textlink="">
            <xdr:nvSpPr>
              <xdr:cNvPr id="29" name="TextBox 28">
                <a:extLst>
                  <a:ext uri="{FF2B5EF4-FFF2-40B4-BE49-F238E27FC236}">
                    <a16:creationId xmlns:a16="http://schemas.microsoft.com/office/drawing/2014/main" id="{A5C8883A-ECC9-A3B4-4BD5-BAE9C7BC9636}"/>
                  </a:ext>
                </a:extLst>
              </xdr:cNvPr>
              <xdr:cNvSpPr txBox="1"/>
            </xdr:nvSpPr>
            <xdr:spPr>
              <a:xfrm>
                <a:off x="466117" y="5052709"/>
                <a:ext cx="476660" cy="22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Sample</a:t>
                </a:r>
              </a:p>
            </xdr:txBody>
          </xdr:sp>
          <xdr:sp macro="" textlink="">
            <xdr:nvSpPr>
              <xdr:cNvPr id="30" name="TextBox 29">
                <a:extLst>
                  <a:ext uri="{FF2B5EF4-FFF2-40B4-BE49-F238E27FC236}">
                    <a16:creationId xmlns:a16="http://schemas.microsoft.com/office/drawing/2014/main" id="{B57F7173-FC1A-587E-B6CF-757644D7D343}"/>
                  </a:ext>
                </a:extLst>
              </xdr:cNvPr>
              <xdr:cNvSpPr txBox="1"/>
            </xdr:nvSpPr>
            <xdr:spPr>
              <a:xfrm>
                <a:off x="4773039" y="5052709"/>
                <a:ext cx="722240" cy="22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Ash Content</a:t>
                </a:r>
              </a:p>
            </xdr:txBody>
          </xdr:sp>
        </xdr:grpSp>
      </xdr:grpSp>
      <xdr:grpSp>
        <xdr:nvGrpSpPr>
          <xdr:cNvPr id="19" name="Group 18">
            <a:extLst>
              <a:ext uri="{FF2B5EF4-FFF2-40B4-BE49-F238E27FC236}">
                <a16:creationId xmlns:a16="http://schemas.microsoft.com/office/drawing/2014/main" id="{BF38914C-BEF8-6FBE-E044-FF44F267D961}"/>
              </a:ext>
            </a:extLst>
          </xdr:cNvPr>
          <xdr:cNvGrpSpPr/>
        </xdr:nvGrpSpPr>
        <xdr:grpSpPr>
          <a:xfrm>
            <a:off x="1643113" y="4493795"/>
            <a:ext cx="3900098" cy="140872"/>
            <a:chOff x="1643113" y="4493795"/>
            <a:chExt cx="3900098" cy="140872"/>
          </a:xfrm>
        </xdr:grpSpPr>
        <xdr:sp macro="" textlink="">
          <xdr:nvSpPr>
            <xdr:cNvPr id="23" name="TextBox 22">
              <a:extLst>
                <a:ext uri="{FF2B5EF4-FFF2-40B4-BE49-F238E27FC236}">
                  <a16:creationId xmlns:a16="http://schemas.microsoft.com/office/drawing/2014/main" id="{163F97FE-64DA-B1F1-511E-E9811501E303}"/>
                </a:ext>
              </a:extLst>
            </xdr:cNvPr>
            <xdr:cNvSpPr txBox="1"/>
          </xdr:nvSpPr>
          <xdr:spPr>
            <a:xfrm>
              <a:off x="16431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Human (Operator) Error</a:t>
              </a:r>
            </a:p>
          </xdr:txBody>
        </xdr:sp>
        <xdr:sp macro="" textlink="">
          <xdr:nvSpPr>
            <xdr:cNvPr id="24" name="TextBox 23">
              <a:extLst>
                <a:ext uri="{FF2B5EF4-FFF2-40B4-BE49-F238E27FC236}">
                  <a16:creationId xmlns:a16="http://schemas.microsoft.com/office/drawing/2014/main" id="{466CE2A3-861D-3432-C627-D252ED399174}"/>
                </a:ext>
              </a:extLst>
            </xdr:cNvPr>
            <xdr:cNvSpPr txBox="1"/>
          </xdr:nvSpPr>
          <xdr:spPr>
            <a:xfrm>
              <a:off x="299566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Environment</a:t>
              </a:r>
            </a:p>
          </xdr:txBody>
        </xdr:sp>
        <xdr:sp macro="" textlink="">
          <xdr:nvSpPr>
            <xdr:cNvPr id="25" name="TextBox 24">
              <a:extLst>
                <a:ext uri="{FF2B5EF4-FFF2-40B4-BE49-F238E27FC236}">
                  <a16:creationId xmlns:a16="http://schemas.microsoft.com/office/drawing/2014/main" id="{286D543D-6F55-CA76-D69C-D872193CF36E}"/>
                </a:ext>
              </a:extLst>
            </xdr:cNvPr>
            <xdr:cNvSpPr txBox="1"/>
          </xdr:nvSpPr>
          <xdr:spPr>
            <a:xfrm>
              <a:off x="43482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Methods</a:t>
              </a:r>
            </a:p>
          </xdr:txBody>
        </xdr:sp>
      </xdr:grpSp>
      <xdr:grpSp>
        <xdr:nvGrpSpPr>
          <xdr:cNvPr id="20" name="Group 19">
            <a:extLst>
              <a:ext uri="{FF2B5EF4-FFF2-40B4-BE49-F238E27FC236}">
                <a16:creationId xmlns:a16="http://schemas.microsoft.com/office/drawing/2014/main" id="{A97738F2-2DEF-2C80-F3B5-B628E37FE36D}"/>
              </a:ext>
            </a:extLst>
          </xdr:cNvPr>
          <xdr:cNvGrpSpPr/>
        </xdr:nvGrpSpPr>
        <xdr:grpSpPr>
          <a:xfrm>
            <a:off x="2995663" y="6574055"/>
            <a:ext cx="2547548" cy="140872"/>
            <a:chOff x="2995663" y="6574055"/>
            <a:chExt cx="2547548" cy="140872"/>
          </a:xfrm>
        </xdr:grpSpPr>
        <xdr:sp macro="" textlink="">
          <xdr:nvSpPr>
            <xdr:cNvPr id="21" name="TextBox 20">
              <a:extLst>
                <a:ext uri="{FF2B5EF4-FFF2-40B4-BE49-F238E27FC236}">
                  <a16:creationId xmlns:a16="http://schemas.microsoft.com/office/drawing/2014/main" id="{DA4DDABC-15C9-0D55-3B1B-DFF9745B552A}"/>
                </a:ext>
              </a:extLst>
            </xdr:cNvPr>
            <xdr:cNvSpPr txBox="1"/>
          </xdr:nvSpPr>
          <xdr:spPr>
            <a:xfrm>
              <a:off x="2995663" y="657405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Materials</a:t>
              </a:r>
            </a:p>
          </xdr:txBody>
        </xdr:sp>
        <xdr:sp macro="" textlink="">
          <xdr:nvSpPr>
            <xdr:cNvPr id="22" name="TextBox 21">
              <a:extLst>
                <a:ext uri="{FF2B5EF4-FFF2-40B4-BE49-F238E27FC236}">
                  <a16:creationId xmlns:a16="http://schemas.microsoft.com/office/drawing/2014/main" id="{D43E6D78-03AE-AF0B-A3AE-4B2927E7AD74}"/>
                </a:ext>
              </a:extLst>
            </xdr:cNvPr>
            <xdr:cNvSpPr txBox="1"/>
          </xdr:nvSpPr>
          <xdr:spPr>
            <a:xfrm>
              <a:off x="4348213" y="657405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Instruments</a:t>
              </a:r>
            </a:p>
          </xdr:txBody>
        </xdr:sp>
      </xdr:grpSp>
    </xdr:grpSp>
    <xdr:clientData/>
  </xdr:twoCellAnchor>
  <xdr:oneCellAnchor>
    <xdr:from>
      <xdr:col>0</xdr:col>
      <xdr:colOff>30078</xdr:colOff>
      <xdr:row>0</xdr:row>
      <xdr:rowOff>40113</xdr:rowOff>
    </xdr:from>
    <xdr:ext cx="396000" cy="396000"/>
    <xdr:pic>
      <xdr:nvPicPr>
        <xdr:cNvPr id="88" name="Graphic 87">
          <a:extLst>
            <a:ext uri="{FF2B5EF4-FFF2-40B4-BE49-F238E27FC236}">
              <a16:creationId xmlns:a16="http://schemas.microsoft.com/office/drawing/2014/main" id="{AADF75CB-375F-4697-A741-F00884C69C7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78" y="40113"/>
          <a:ext cx="396000" cy="396000"/>
        </a:xfrm>
        <a:prstGeom prst="rect">
          <a:avLst/>
        </a:prstGeom>
      </xdr:spPr>
    </xdr:pic>
    <xdr:clientData/>
  </xdr:oneCellAnchor>
  <xdr:oneCellAnchor>
    <xdr:from>
      <xdr:col>60</xdr:col>
      <xdr:colOff>30078</xdr:colOff>
      <xdr:row>0</xdr:row>
      <xdr:rowOff>40113</xdr:rowOff>
    </xdr:from>
    <xdr:ext cx="396000" cy="396000"/>
    <xdr:pic>
      <xdr:nvPicPr>
        <xdr:cNvPr id="89" name="Graphic 88">
          <a:extLst>
            <a:ext uri="{FF2B5EF4-FFF2-40B4-BE49-F238E27FC236}">
              <a16:creationId xmlns:a16="http://schemas.microsoft.com/office/drawing/2014/main" id="{F00D34DF-CC98-45C7-98B1-A8E8343204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45078" y="40113"/>
          <a:ext cx="396000" cy="396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6</xdr:col>
      <xdr:colOff>49174</xdr:colOff>
      <xdr:row>14</xdr:row>
      <xdr:rowOff>144379</xdr:rowOff>
    </xdr:from>
    <xdr:to>
      <xdr:col>49</xdr:col>
      <xdr:colOff>30197</xdr:colOff>
      <xdr:row>25</xdr:row>
      <xdr:rowOff>43367</xdr:rowOff>
    </xdr:to>
    <xdr:grpSp>
      <xdr:nvGrpSpPr>
        <xdr:cNvPr id="2" name="Group 1">
          <a:extLst>
            <a:ext uri="{FF2B5EF4-FFF2-40B4-BE49-F238E27FC236}">
              <a16:creationId xmlns:a16="http://schemas.microsoft.com/office/drawing/2014/main" id="{C2618F0C-52AA-4EC6-AAE0-3BBDB11D1A25}"/>
            </a:ext>
          </a:extLst>
        </xdr:cNvPr>
        <xdr:cNvGrpSpPr/>
      </xdr:nvGrpSpPr>
      <xdr:grpSpPr>
        <a:xfrm>
          <a:off x="620674" y="2277979"/>
          <a:ext cx="4076773" cy="1575388"/>
          <a:chOff x="590909" y="2507770"/>
          <a:chExt cx="4076773" cy="1601581"/>
        </a:xfrm>
      </xdr:grpSpPr>
      <xdr:grpSp>
        <xdr:nvGrpSpPr>
          <xdr:cNvPr id="3" name="Group 2">
            <a:extLst>
              <a:ext uri="{FF2B5EF4-FFF2-40B4-BE49-F238E27FC236}">
                <a16:creationId xmlns:a16="http://schemas.microsoft.com/office/drawing/2014/main" id="{00747BB4-536E-77D1-E92F-2A079E8944FC}"/>
              </a:ext>
            </a:extLst>
          </xdr:cNvPr>
          <xdr:cNvGrpSpPr/>
        </xdr:nvGrpSpPr>
        <xdr:grpSpPr>
          <a:xfrm>
            <a:off x="590909" y="2507770"/>
            <a:ext cx="4065870" cy="367639"/>
            <a:chOff x="603849" y="2223818"/>
            <a:chExt cx="4141351" cy="360000"/>
          </a:xfrm>
        </xdr:grpSpPr>
        <xdr:sp macro="" textlink="">
          <xdr:nvSpPr>
            <xdr:cNvPr id="14" name="Rectangle: Rounded Corners 13">
              <a:extLst>
                <a:ext uri="{FF2B5EF4-FFF2-40B4-BE49-F238E27FC236}">
                  <a16:creationId xmlns:a16="http://schemas.microsoft.com/office/drawing/2014/main" id="{2567BB21-86ED-86F0-F0A2-17CB2F71C54A}"/>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US" sz="900">
                  <a:solidFill>
                    <a:schemeClr val="tx1"/>
                  </a:solidFill>
                  <a:latin typeface="Aptos Narrow" panose="020B0004020202020204" pitchFamily="34" charset="0"/>
                </a:rPr>
                <a:t>Sampling</a:t>
              </a:r>
            </a:p>
          </xdr:txBody>
        </xdr:sp>
        <xdr:sp macro="" textlink="">
          <xdr:nvSpPr>
            <xdr:cNvPr id="15" name="Rectangle: Rounded Corners 14">
              <a:extLst>
                <a:ext uri="{FF2B5EF4-FFF2-40B4-BE49-F238E27FC236}">
                  <a16:creationId xmlns:a16="http://schemas.microsoft.com/office/drawing/2014/main" id="{EC52DF6B-A636-1022-701F-C43F6A098BB6}"/>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Sample Preparation</a:t>
              </a:r>
            </a:p>
            <a:p>
              <a:pPr algn="ctr"/>
              <a:r>
                <a:rPr lang="en-US" sz="700">
                  <a:solidFill>
                    <a:schemeClr val="tx1"/>
                  </a:solidFill>
                  <a:latin typeface="Aptos Narrow" panose="020B0004020202020204" pitchFamily="34" charset="0"/>
                </a:rPr>
                <a:t>(Grinding, drying, weighing, etc.)</a:t>
              </a:r>
              <a:endParaRPr lang="en-US" sz="900">
                <a:solidFill>
                  <a:schemeClr val="tx1"/>
                </a:solidFill>
                <a:latin typeface="Aptos Narrow" panose="020B0004020202020204" pitchFamily="34" charset="0"/>
              </a:endParaRPr>
            </a:p>
          </xdr:txBody>
        </xdr:sp>
        <xdr:cxnSp macro="">
          <xdr:nvCxnSpPr>
            <xdr:cNvPr id="16" name="Straight Arrow Connector 15">
              <a:extLst>
                <a:ext uri="{FF2B5EF4-FFF2-40B4-BE49-F238E27FC236}">
                  <a16:creationId xmlns:a16="http://schemas.microsoft.com/office/drawing/2014/main" id="{9D40A2E3-D1E4-5EB8-4457-9DFC09DF823F}"/>
                </a:ext>
              </a:extLst>
            </xdr:cNvPr>
            <xdr:cNvCxnSpPr>
              <a:stCxn id="14" idx="3"/>
              <a:endCxn id="15"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4" name="Group 3">
            <a:extLst>
              <a:ext uri="{FF2B5EF4-FFF2-40B4-BE49-F238E27FC236}">
                <a16:creationId xmlns:a16="http://schemas.microsoft.com/office/drawing/2014/main" id="{65EFE104-338A-3C35-6410-27DD855A5605}"/>
              </a:ext>
            </a:extLst>
          </xdr:cNvPr>
          <xdr:cNvGrpSpPr/>
        </xdr:nvGrpSpPr>
        <xdr:grpSpPr>
          <a:xfrm>
            <a:off x="590909" y="3124742"/>
            <a:ext cx="4065870" cy="367638"/>
            <a:chOff x="603849" y="2223818"/>
            <a:chExt cx="4141351" cy="360000"/>
          </a:xfrm>
        </xdr:grpSpPr>
        <xdr:sp macro="" textlink="">
          <xdr:nvSpPr>
            <xdr:cNvPr id="11" name="Rectangle: Rounded Corners 10">
              <a:extLst>
                <a:ext uri="{FF2B5EF4-FFF2-40B4-BE49-F238E27FC236}">
                  <a16:creationId xmlns:a16="http://schemas.microsoft.com/office/drawing/2014/main" id="{51FB4EBF-DBB8-9183-435C-265FC833203B}"/>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Cool in Desiccator</a:t>
              </a:r>
            </a:p>
            <a:p>
              <a:pPr algn="ctr"/>
              <a:r>
                <a:rPr lang="en-US" sz="700">
                  <a:solidFill>
                    <a:schemeClr val="tx1"/>
                  </a:solidFill>
                  <a:latin typeface="Aptos Narrow" panose="020B0004020202020204" pitchFamily="34" charset="0"/>
                </a:rPr>
                <a:t>(sample back to room temp.)</a:t>
              </a:r>
              <a:endParaRPr lang="en-US" sz="900">
                <a:solidFill>
                  <a:schemeClr val="tx1"/>
                </a:solidFill>
                <a:latin typeface="Aptos Narrow" panose="020B0004020202020204" pitchFamily="34" charset="0"/>
              </a:endParaRPr>
            </a:p>
          </xdr:txBody>
        </xdr:sp>
        <xdr:sp macro="" textlink="">
          <xdr:nvSpPr>
            <xdr:cNvPr id="12" name="Rectangle: Rounded Corners 11">
              <a:extLst>
                <a:ext uri="{FF2B5EF4-FFF2-40B4-BE49-F238E27FC236}">
                  <a16:creationId xmlns:a16="http://schemas.microsoft.com/office/drawing/2014/main" id="{EE5A7624-20BF-5C67-43B9-FC77206F54CB}"/>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Furnace Heating</a:t>
              </a:r>
            </a:p>
            <a:p>
              <a:pPr algn="ctr"/>
              <a:r>
                <a:rPr lang="en-US" sz="700">
                  <a:solidFill>
                    <a:schemeClr val="tx1"/>
                  </a:solidFill>
                  <a:latin typeface="Aptos Narrow" panose="020B0004020202020204" pitchFamily="34" charset="0"/>
                </a:rPr>
                <a:t>(900 ±10 °C for 7 minutes)</a:t>
              </a:r>
              <a:endParaRPr lang="en-US" sz="900">
                <a:solidFill>
                  <a:schemeClr val="tx1"/>
                </a:solidFill>
                <a:latin typeface="Aptos Narrow" panose="020B0004020202020204" pitchFamily="34" charset="0"/>
              </a:endParaRPr>
            </a:p>
          </xdr:txBody>
        </xdr:sp>
        <xdr:cxnSp macro="">
          <xdr:nvCxnSpPr>
            <xdr:cNvPr id="13" name="Straight Arrow Connector 12">
              <a:extLst>
                <a:ext uri="{FF2B5EF4-FFF2-40B4-BE49-F238E27FC236}">
                  <a16:creationId xmlns:a16="http://schemas.microsoft.com/office/drawing/2014/main" id="{84801919-33BA-7B0D-AF19-024B1AB2925C}"/>
                </a:ext>
              </a:extLst>
            </xdr:cNvPr>
            <xdr:cNvCxnSpPr>
              <a:stCxn id="12" idx="1"/>
              <a:endCxn id="11" idx="3"/>
            </xdr:cNvCxnSpPr>
          </xdr:nvCxnSpPr>
          <xdr:spPr>
            <a:xfrm flipH="1">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5" name="Group 4">
            <a:extLst>
              <a:ext uri="{FF2B5EF4-FFF2-40B4-BE49-F238E27FC236}">
                <a16:creationId xmlns:a16="http://schemas.microsoft.com/office/drawing/2014/main" id="{529609BB-63A6-805E-E0F1-65483AA658DE}"/>
              </a:ext>
            </a:extLst>
          </xdr:cNvPr>
          <xdr:cNvGrpSpPr/>
        </xdr:nvGrpSpPr>
        <xdr:grpSpPr>
          <a:xfrm>
            <a:off x="590909" y="3741713"/>
            <a:ext cx="4065870" cy="367638"/>
            <a:chOff x="603849" y="2223818"/>
            <a:chExt cx="4141351" cy="360000"/>
          </a:xfrm>
        </xdr:grpSpPr>
        <xdr:sp macro="" textlink="">
          <xdr:nvSpPr>
            <xdr:cNvPr id="8" name="Rectangle: Rounded Corners 7">
              <a:extLst>
                <a:ext uri="{FF2B5EF4-FFF2-40B4-BE49-F238E27FC236}">
                  <a16:creationId xmlns:a16="http://schemas.microsoft.com/office/drawing/2014/main" id="{6F03F4E9-5EBB-B306-1B70-8A0C453AC7C6}"/>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Weigh sample again after cooling</a:t>
              </a:r>
            </a:p>
          </xdr:txBody>
        </xdr:sp>
        <xdr:sp macro="" textlink="">
          <xdr:nvSpPr>
            <xdr:cNvPr id="9" name="Rectangle: Rounded Corners 8">
              <a:extLst>
                <a:ext uri="{FF2B5EF4-FFF2-40B4-BE49-F238E27FC236}">
                  <a16:creationId xmlns:a16="http://schemas.microsoft.com/office/drawing/2014/main" id="{25932EEA-81DB-D36C-D9D7-C9F8D051E0DB}"/>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b="1">
                  <a:solidFill>
                    <a:schemeClr val="tx1"/>
                  </a:solidFill>
                  <a:latin typeface="Aptos Narrow" panose="020B0004020202020204" pitchFamily="34" charset="0"/>
                </a:rPr>
                <a:t>Calculate Volatile Matter, %</a:t>
              </a:r>
            </a:p>
          </xdr:txBody>
        </xdr:sp>
        <xdr:cxnSp macro="">
          <xdr:nvCxnSpPr>
            <xdr:cNvPr id="10" name="Straight Arrow Connector 9">
              <a:extLst>
                <a:ext uri="{FF2B5EF4-FFF2-40B4-BE49-F238E27FC236}">
                  <a16:creationId xmlns:a16="http://schemas.microsoft.com/office/drawing/2014/main" id="{C3B39D6D-54C1-AD64-F8CA-7EA3952F8D6C}"/>
                </a:ext>
              </a:extLst>
            </xdr:cNvPr>
            <xdr:cNvCxnSpPr>
              <a:stCxn id="8" idx="3"/>
              <a:endCxn id="9"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xnSp macro="">
        <xdr:nvCxnSpPr>
          <xdr:cNvPr id="6" name="Connector: Elbow 5">
            <a:extLst>
              <a:ext uri="{FF2B5EF4-FFF2-40B4-BE49-F238E27FC236}">
                <a16:creationId xmlns:a16="http://schemas.microsoft.com/office/drawing/2014/main" id="{3056DC90-4828-D651-31B4-46306F037B22}"/>
              </a:ext>
            </a:extLst>
          </xdr:cNvPr>
          <xdr:cNvCxnSpPr>
            <a:stCxn id="15" idx="3"/>
            <a:endCxn id="12" idx="3"/>
          </xdr:cNvCxnSpPr>
        </xdr:nvCxnSpPr>
        <xdr:spPr>
          <a:xfrm>
            <a:off x="4656779" y="2691589"/>
            <a:ext cx="10903" cy="616972"/>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cxnSp macro="">
        <xdr:nvCxnSpPr>
          <xdr:cNvPr id="7" name="Connector: Elbow 6">
            <a:extLst>
              <a:ext uri="{FF2B5EF4-FFF2-40B4-BE49-F238E27FC236}">
                <a16:creationId xmlns:a16="http://schemas.microsoft.com/office/drawing/2014/main" id="{C2D5BAE9-0F43-D835-1B7A-03DB7B36EC3F}"/>
              </a:ext>
            </a:extLst>
          </xdr:cNvPr>
          <xdr:cNvCxnSpPr>
            <a:stCxn id="11" idx="1"/>
            <a:endCxn id="8" idx="1"/>
          </xdr:cNvCxnSpPr>
        </xdr:nvCxnSpPr>
        <xdr:spPr>
          <a:xfrm rot="10800000" flipV="1">
            <a:off x="590909" y="3308560"/>
            <a:ext cx="12700" cy="616970"/>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36480</xdr:colOff>
      <xdr:row>27</xdr:row>
      <xdr:rowOff>129448</xdr:rowOff>
    </xdr:from>
    <xdr:to>
      <xdr:col>57</xdr:col>
      <xdr:colOff>70124</xdr:colOff>
      <xdr:row>41</xdr:row>
      <xdr:rowOff>33387</xdr:rowOff>
    </xdr:to>
    <xdr:grpSp>
      <xdr:nvGrpSpPr>
        <xdr:cNvPr id="17" name="Group 16">
          <a:extLst>
            <a:ext uri="{FF2B5EF4-FFF2-40B4-BE49-F238E27FC236}">
              <a16:creationId xmlns:a16="http://schemas.microsoft.com/office/drawing/2014/main" id="{6314B6C1-9367-4757-B15B-8F02E0C0D1B7}"/>
            </a:ext>
          </a:extLst>
        </xdr:cNvPr>
        <xdr:cNvGrpSpPr>
          <a:grpSpLocks noChangeAspect="1"/>
        </xdr:cNvGrpSpPr>
      </xdr:nvGrpSpPr>
      <xdr:grpSpPr>
        <a:xfrm>
          <a:off x="417480" y="4244248"/>
          <a:ext cx="5081894" cy="2037539"/>
          <a:chOff x="1179478" y="4493795"/>
          <a:chExt cx="5555223" cy="2221132"/>
        </a:xfrm>
      </xdr:grpSpPr>
      <xdr:grpSp>
        <xdr:nvGrpSpPr>
          <xdr:cNvPr id="18" name="Group 17">
            <a:extLst>
              <a:ext uri="{FF2B5EF4-FFF2-40B4-BE49-F238E27FC236}">
                <a16:creationId xmlns:a16="http://schemas.microsoft.com/office/drawing/2014/main" id="{3767B69B-7AFB-F62A-5D3A-67D537520055}"/>
              </a:ext>
            </a:extLst>
          </xdr:cNvPr>
          <xdr:cNvGrpSpPr/>
        </xdr:nvGrpSpPr>
        <xdr:grpSpPr>
          <a:xfrm>
            <a:off x="1179478" y="4644013"/>
            <a:ext cx="5555223" cy="1929886"/>
            <a:chOff x="36478" y="4205863"/>
            <a:chExt cx="5555223" cy="1929886"/>
          </a:xfrm>
        </xdr:grpSpPr>
        <xdr:grpSp>
          <xdr:nvGrpSpPr>
            <xdr:cNvPr id="26" name="Group 25">
              <a:extLst>
                <a:ext uri="{FF2B5EF4-FFF2-40B4-BE49-F238E27FC236}">
                  <a16:creationId xmlns:a16="http://schemas.microsoft.com/office/drawing/2014/main" id="{7C35D01F-4C1C-4AE3-8F71-DEE82E33A872}"/>
                </a:ext>
              </a:extLst>
            </xdr:cNvPr>
            <xdr:cNvGrpSpPr/>
          </xdr:nvGrpSpPr>
          <xdr:grpSpPr>
            <a:xfrm>
              <a:off x="36478" y="4205863"/>
              <a:ext cx="4328521" cy="1929886"/>
              <a:chOff x="36478" y="4249637"/>
              <a:chExt cx="4419719" cy="1950963"/>
            </a:xfrm>
          </xdr:grpSpPr>
          <xdr:grpSp>
            <xdr:nvGrpSpPr>
              <xdr:cNvPr id="31" name="Group 30">
                <a:extLst>
                  <a:ext uri="{FF2B5EF4-FFF2-40B4-BE49-F238E27FC236}">
                    <a16:creationId xmlns:a16="http://schemas.microsoft.com/office/drawing/2014/main" id="{7D1D904A-F103-0090-5A8A-897813173B8A}"/>
                  </a:ext>
                </a:extLst>
              </xdr:cNvPr>
              <xdr:cNvGrpSpPr/>
            </xdr:nvGrpSpPr>
            <xdr:grpSpPr>
              <a:xfrm>
                <a:off x="2798053" y="4249637"/>
                <a:ext cx="1658144" cy="1950963"/>
                <a:chOff x="2798053" y="4255581"/>
                <a:chExt cx="1658144" cy="1950963"/>
              </a:xfrm>
            </xdr:grpSpPr>
            <xdr:grpSp>
              <xdr:nvGrpSpPr>
                <xdr:cNvPr id="66" name="Group 65">
                  <a:extLst>
                    <a:ext uri="{FF2B5EF4-FFF2-40B4-BE49-F238E27FC236}">
                      <a16:creationId xmlns:a16="http://schemas.microsoft.com/office/drawing/2014/main" id="{02C4B1F9-4A7B-E8DA-7272-CBA2E08995E9}"/>
                    </a:ext>
                  </a:extLst>
                </xdr:cNvPr>
                <xdr:cNvGrpSpPr/>
              </xdr:nvGrpSpPr>
              <xdr:grpSpPr>
                <a:xfrm>
                  <a:off x="2798053" y="4255581"/>
                  <a:ext cx="1658129" cy="956376"/>
                  <a:chOff x="2511459" y="4309314"/>
                  <a:chExt cx="1623699" cy="946649"/>
                </a:xfrm>
              </xdr:grpSpPr>
              <xdr:cxnSp macro="">
                <xdr:nvCxnSpPr>
                  <xdr:cNvPr id="78" name="Straight Arrow Connector 77">
                    <a:extLst>
                      <a:ext uri="{FF2B5EF4-FFF2-40B4-BE49-F238E27FC236}">
                        <a16:creationId xmlns:a16="http://schemas.microsoft.com/office/drawing/2014/main" id="{D356A1FA-224D-F579-3C61-FE851099C077}"/>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79" name="Group 78">
                    <a:extLst>
                      <a:ext uri="{FF2B5EF4-FFF2-40B4-BE49-F238E27FC236}">
                        <a16:creationId xmlns:a16="http://schemas.microsoft.com/office/drawing/2014/main" id="{9EB06ADF-4ADB-93D7-2E9C-63D0191162A5}"/>
                      </a:ext>
                    </a:extLst>
                  </xdr:cNvPr>
                  <xdr:cNvGrpSpPr/>
                </xdr:nvGrpSpPr>
                <xdr:grpSpPr>
                  <a:xfrm>
                    <a:off x="2511459" y="4373271"/>
                    <a:ext cx="1168643" cy="128065"/>
                    <a:chOff x="2582347" y="4496127"/>
                    <a:chExt cx="1188000" cy="127407"/>
                  </a:xfrm>
                </xdr:grpSpPr>
                <xdr:cxnSp macro="">
                  <xdr:nvCxnSpPr>
                    <xdr:cNvPr id="86" name="Straight Arrow Connector 85">
                      <a:extLst>
                        <a:ext uri="{FF2B5EF4-FFF2-40B4-BE49-F238E27FC236}">
                          <a16:creationId xmlns:a16="http://schemas.microsoft.com/office/drawing/2014/main" id="{85570441-9F05-0EFB-BC70-B157099B4958}"/>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7" name="TextBox 86">
                      <a:extLst>
                        <a:ext uri="{FF2B5EF4-FFF2-40B4-BE49-F238E27FC236}">
                          <a16:creationId xmlns:a16="http://schemas.microsoft.com/office/drawing/2014/main" id="{91C975D7-6216-671F-74BF-370AF468C57E}"/>
                        </a:ext>
                      </a:extLst>
                    </xdr:cNvPr>
                    <xdr:cNvSpPr txBox="1"/>
                  </xdr:nvSpPr>
                  <xdr:spPr>
                    <a:xfrm>
                      <a:off x="2586400" y="4496127"/>
                      <a:ext cx="926527" cy="127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Furnace Temp. profile</a:t>
                      </a:r>
                    </a:p>
                  </xdr:txBody>
                </xdr:sp>
              </xdr:grpSp>
              <xdr:grpSp>
                <xdr:nvGrpSpPr>
                  <xdr:cNvPr id="80" name="Group 79">
                    <a:extLst>
                      <a:ext uri="{FF2B5EF4-FFF2-40B4-BE49-F238E27FC236}">
                        <a16:creationId xmlns:a16="http://schemas.microsoft.com/office/drawing/2014/main" id="{5C4DA923-9FBE-40C6-544A-BE38E156ACEE}"/>
                      </a:ext>
                    </a:extLst>
                  </xdr:cNvPr>
                  <xdr:cNvGrpSpPr/>
                </xdr:nvGrpSpPr>
                <xdr:grpSpPr>
                  <a:xfrm>
                    <a:off x="2689758" y="4677540"/>
                    <a:ext cx="1169616" cy="129210"/>
                    <a:chOff x="2581358" y="4496127"/>
                    <a:chExt cx="1188989" cy="128548"/>
                  </a:xfrm>
                </xdr:grpSpPr>
                <xdr:cxnSp macro="">
                  <xdr:nvCxnSpPr>
                    <xdr:cNvPr id="84" name="Straight Arrow Connector 83">
                      <a:extLst>
                        <a:ext uri="{FF2B5EF4-FFF2-40B4-BE49-F238E27FC236}">
                          <a16:creationId xmlns:a16="http://schemas.microsoft.com/office/drawing/2014/main" id="{95F40946-228D-79AE-F915-0100A22789C9}"/>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5" name="TextBox 84">
                      <a:extLst>
                        <a:ext uri="{FF2B5EF4-FFF2-40B4-BE49-F238E27FC236}">
                          <a16:creationId xmlns:a16="http://schemas.microsoft.com/office/drawing/2014/main" id="{1E468FA4-B9B8-AEF9-03B0-F8150B581B98}"/>
                        </a:ext>
                      </a:extLst>
                    </xdr:cNvPr>
                    <xdr:cNvSpPr txBox="1"/>
                  </xdr:nvSpPr>
                  <xdr:spPr>
                    <a:xfrm>
                      <a:off x="2581358" y="4496127"/>
                      <a:ext cx="994392"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Drying and cooling time</a:t>
                      </a:r>
                    </a:p>
                  </xdr:txBody>
                </xdr:sp>
              </xdr:grpSp>
              <xdr:grpSp>
                <xdr:nvGrpSpPr>
                  <xdr:cNvPr id="81" name="Group 80">
                    <a:extLst>
                      <a:ext uri="{FF2B5EF4-FFF2-40B4-BE49-F238E27FC236}">
                        <a16:creationId xmlns:a16="http://schemas.microsoft.com/office/drawing/2014/main" id="{47380A78-A3EC-132D-3AA9-ADC9FFA75A95}"/>
                      </a:ext>
                    </a:extLst>
                  </xdr:cNvPr>
                  <xdr:cNvGrpSpPr/>
                </xdr:nvGrpSpPr>
                <xdr:grpSpPr>
                  <a:xfrm>
                    <a:off x="2872637" y="4981873"/>
                    <a:ext cx="1169617" cy="129210"/>
                    <a:chOff x="2581357" y="4496127"/>
                    <a:chExt cx="1188990" cy="128546"/>
                  </a:xfrm>
                </xdr:grpSpPr>
                <xdr:cxnSp macro="">
                  <xdr:nvCxnSpPr>
                    <xdr:cNvPr id="82" name="Straight Arrow Connector 81">
                      <a:extLst>
                        <a:ext uri="{FF2B5EF4-FFF2-40B4-BE49-F238E27FC236}">
                          <a16:creationId xmlns:a16="http://schemas.microsoft.com/office/drawing/2014/main" id="{6EEEAAA3-6486-9D38-07AD-9359C4D1AC67}"/>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3" name="TextBox 82">
                      <a:extLst>
                        <a:ext uri="{FF2B5EF4-FFF2-40B4-BE49-F238E27FC236}">
                          <a16:creationId xmlns:a16="http://schemas.microsoft.com/office/drawing/2014/main" id="{B1A1217D-2267-FFAF-FBD2-E20D1764FE56}"/>
                        </a:ext>
                      </a:extLst>
                    </xdr:cNvPr>
                    <xdr:cNvSpPr txBox="1"/>
                  </xdr:nvSpPr>
                  <xdr:spPr>
                    <a:xfrm>
                      <a:off x="2581357" y="4496127"/>
                      <a:ext cx="711696"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handling</a:t>
                      </a:r>
                    </a:p>
                  </xdr:txBody>
                </xdr:sp>
              </xdr:grpSp>
            </xdr:grpSp>
            <xdr:grpSp>
              <xdr:nvGrpSpPr>
                <xdr:cNvPr id="67" name="Group 66">
                  <a:extLst>
                    <a:ext uri="{FF2B5EF4-FFF2-40B4-BE49-F238E27FC236}">
                      <a16:creationId xmlns:a16="http://schemas.microsoft.com/office/drawing/2014/main" id="{B4C3CC7A-375B-BB44-BA44-1B726D36E3AD}"/>
                    </a:ext>
                  </a:extLst>
                </xdr:cNvPr>
                <xdr:cNvGrpSpPr/>
              </xdr:nvGrpSpPr>
              <xdr:grpSpPr>
                <a:xfrm flipV="1">
                  <a:off x="2798071" y="5250812"/>
                  <a:ext cx="1658126" cy="955732"/>
                  <a:chOff x="2511466" y="4309314"/>
                  <a:chExt cx="1623692" cy="946649"/>
                </a:xfrm>
              </xdr:grpSpPr>
              <xdr:cxnSp macro="">
                <xdr:nvCxnSpPr>
                  <xdr:cNvPr id="68" name="Straight Arrow Connector 67">
                    <a:extLst>
                      <a:ext uri="{FF2B5EF4-FFF2-40B4-BE49-F238E27FC236}">
                        <a16:creationId xmlns:a16="http://schemas.microsoft.com/office/drawing/2014/main" id="{E651BDAB-0CA7-EE69-C773-76363E6E7C37}"/>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69" name="Group 68">
                    <a:extLst>
                      <a:ext uri="{FF2B5EF4-FFF2-40B4-BE49-F238E27FC236}">
                        <a16:creationId xmlns:a16="http://schemas.microsoft.com/office/drawing/2014/main" id="{93184F6F-9B0E-084E-275D-4509F9FCB732}"/>
                      </a:ext>
                    </a:extLst>
                  </xdr:cNvPr>
                  <xdr:cNvGrpSpPr/>
                </xdr:nvGrpSpPr>
                <xdr:grpSpPr>
                  <a:xfrm>
                    <a:off x="2511466" y="4371540"/>
                    <a:ext cx="1168646" cy="129297"/>
                    <a:chOff x="2582347" y="4494417"/>
                    <a:chExt cx="1188000" cy="128633"/>
                  </a:xfrm>
                </xdr:grpSpPr>
                <xdr:cxnSp macro="">
                  <xdr:nvCxnSpPr>
                    <xdr:cNvPr id="76" name="Straight Arrow Connector 75">
                      <a:extLst>
                        <a:ext uri="{FF2B5EF4-FFF2-40B4-BE49-F238E27FC236}">
                          <a16:creationId xmlns:a16="http://schemas.microsoft.com/office/drawing/2014/main" id="{C9238442-0D24-31DE-5D1A-0DDD57CA4FFB}"/>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7" name="TextBox 76">
                      <a:extLst>
                        <a:ext uri="{FF2B5EF4-FFF2-40B4-BE49-F238E27FC236}">
                          <a16:creationId xmlns:a16="http://schemas.microsoft.com/office/drawing/2014/main" id="{1DFDEA16-56C9-B3B4-1CF9-D8DEC6925B7E}"/>
                        </a:ext>
                      </a:extLst>
                    </xdr:cNvPr>
                    <xdr:cNvSpPr txBox="1"/>
                  </xdr:nvSpPr>
                  <xdr:spPr>
                    <a:xfrm rot="10800000">
                      <a:off x="2610604" y="4494417"/>
                      <a:ext cx="660667" cy="128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Desiccator seal</a:t>
                      </a:r>
                    </a:p>
                  </xdr:txBody>
                </xdr:sp>
              </xdr:grpSp>
              <xdr:grpSp>
                <xdr:nvGrpSpPr>
                  <xdr:cNvPr id="70" name="Group 69">
                    <a:extLst>
                      <a:ext uri="{FF2B5EF4-FFF2-40B4-BE49-F238E27FC236}">
                        <a16:creationId xmlns:a16="http://schemas.microsoft.com/office/drawing/2014/main" id="{338B4DB9-3E65-56FC-D36C-AFD21D43100B}"/>
                      </a:ext>
                    </a:extLst>
                  </xdr:cNvPr>
                  <xdr:cNvGrpSpPr/>
                </xdr:nvGrpSpPr>
                <xdr:grpSpPr>
                  <a:xfrm>
                    <a:off x="2690733" y="4675850"/>
                    <a:ext cx="1168646" cy="129297"/>
                    <a:chOff x="2582347" y="4494426"/>
                    <a:chExt cx="1188000" cy="128634"/>
                  </a:xfrm>
                </xdr:grpSpPr>
                <xdr:cxnSp macro="">
                  <xdr:nvCxnSpPr>
                    <xdr:cNvPr id="74" name="Straight Arrow Connector 73">
                      <a:extLst>
                        <a:ext uri="{FF2B5EF4-FFF2-40B4-BE49-F238E27FC236}">
                          <a16:creationId xmlns:a16="http://schemas.microsoft.com/office/drawing/2014/main" id="{D3A66ADA-A0A2-0398-070D-3B24EEB5835A}"/>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5" name="TextBox 74">
                      <a:extLst>
                        <a:ext uri="{FF2B5EF4-FFF2-40B4-BE49-F238E27FC236}">
                          <a16:creationId xmlns:a16="http://schemas.microsoft.com/office/drawing/2014/main" id="{36A8D1C4-756E-5534-3E84-60AC2E3CD1B7}"/>
                        </a:ext>
                      </a:extLst>
                    </xdr:cNvPr>
                    <xdr:cNvSpPr txBox="1"/>
                  </xdr:nvSpPr>
                  <xdr:spPr>
                    <a:xfrm rot="10800000">
                      <a:off x="2606226" y="4494426"/>
                      <a:ext cx="473462"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Calibration</a:t>
                      </a:r>
                    </a:p>
                  </xdr:txBody>
                </xdr:sp>
              </xdr:grpSp>
              <xdr:grpSp>
                <xdr:nvGrpSpPr>
                  <xdr:cNvPr id="71" name="Group 70">
                    <a:extLst>
                      <a:ext uri="{FF2B5EF4-FFF2-40B4-BE49-F238E27FC236}">
                        <a16:creationId xmlns:a16="http://schemas.microsoft.com/office/drawing/2014/main" id="{F73A80B8-59AB-32C4-ACFE-B6CB56774CAD}"/>
                      </a:ext>
                    </a:extLst>
                  </xdr:cNvPr>
                  <xdr:cNvGrpSpPr/>
                </xdr:nvGrpSpPr>
                <xdr:grpSpPr>
                  <a:xfrm>
                    <a:off x="2873621" y="4980466"/>
                    <a:ext cx="1168648" cy="129297"/>
                    <a:chOff x="2582347" y="4494708"/>
                    <a:chExt cx="1188000" cy="128632"/>
                  </a:xfrm>
                </xdr:grpSpPr>
                <xdr:cxnSp macro="">
                  <xdr:nvCxnSpPr>
                    <xdr:cNvPr id="72" name="Straight Arrow Connector 71">
                      <a:extLst>
                        <a:ext uri="{FF2B5EF4-FFF2-40B4-BE49-F238E27FC236}">
                          <a16:creationId xmlns:a16="http://schemas.microsoft.com/office/drawing/2014/main" id="{756776EA-A2DE-EAD3-0A9F-6CAC782BF4BD}"/>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3" name="TextBox 72">
                      <a:extLst>
                        <a:ext uri="{FF2B5EF4-FFF2-40B4-BE49-F238E27FC236}">
                          <a16:creationId xmlns:a16="http://schemas.microsoft.com/office/drawing/2014/main" id="{2CB3DBF8-B807-7B68-E321-B14741E7555A}"/>
                        </a:ext>
                      </a:extLst>
                    </xdr:cNvPr>
                    <xdr:cNvSpPr txBox="1"/>
                  </xdr:nvSpPr>
                  <xdr:spPr>
                    <a:xfrm rot="10800000">
                      <a:off x="2600602" y="4494708"/>
                      <a:ext cx="756229"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pPr algn="l"/>
                      <a:r>
                        <a:rPr lang="en-US" sz="750"/>
                        <a:t>Balance accuracy</a:t>
                      </a:r>
                    </a:p>
                  </xdr:txBody>
                </xdr:sp>
              </xdr:grpSp>
            </xdr:grpSp>
          </xdr:grpSp>
          <xdr:grpSp>
            <xdr:nvGrpSpPr>
              <xdr:cNvPr id="32" name="Group 31">
                <a:extLst>
                  <a:ext uri="{FF2B5EF4-FFF2-40B4-BE49-F238E27FC236}">
                    <a16:creationId xmlns:a16="http://schemas.microsoft.com/office/drawing/2014/main" id="{26953291-F066-813C-1812-9BA08030D643}"/>
                  </a:ext>
                </a:extLst>
              </xdr:cNvPr>
              <xdr:cNvGrpSpPr/>
            </xdr:nvGrpSpPr>
            <xdr:grpSpPr>
              <a:xfrm>
                <a:off x="1416769" y="4249637"/>
                <a:ext cx="1659143" cy="1950963"/>
                <a:chOff x="2797060" y="4255581"/>
                <a:chExt cx="1659143" cy="1950963"/>
              </a:xfrm>
            </xdr:grpSpPr>
            <xdr:grpSp>
              <xdr:nvGrpSpPr>
                <xdr:cNvPr id="44" name="Group 43">
                  <a:extLst>
                    <a:ext uri="{FF2B5EF4-FFF2-40B4-BE49-F238E27FC236}">
                      <a16:creationId xmlns:a16="http://schemas.microsoft.com/office/drawing/2014/main" id="{0D1B026F-DA72-C023-8976-B44C1D4A9E95}"/>
                    </a:ext>
                  </a:extLst>
                </xdr:cNvPr>
                <xdr:cNvGrpSpPr/>
              </xdr:nvGrpSpPr>
              <xdr:grpSpPr>
                <a:xfrm>
                  <a:off x="2797060" y="4255581"/>
                  <a:ext cx="1659123" cy="956376"/>
                  <a:chOff x="2510486" y="4309314"/>
                  <a:chExt cx="1624672" cy="946649"/>
                </a:xfrm>
              </xdr:grpSpPr>
              <xdr:cxnSp macro="">
                <xdr:nvCxnSpPr>
                  <xdr:cNvPr id="56" name="Straight Arrow Connector 55">
                    <a:extLst>
                      <a:ext uri="{FF2B5EF4-FFF2-40B4-BE49-F238E27FC236}">
                        <a16:creationId xmlns:a16="http://schemas.microsoft.com/office/drawing/2014/main" id="{C6BC001D-9BFF-3673-70D0-78AE60232AAB}"/>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57" name="Group 56">
                    <a:extLst>
                      <a:ext uri="{FF2B5EF4-FFF2-40B4-BE49-F238E27FC236}">
                        <a16:creationId xmlns:a16="http://schemas.microsoft.com/office/drawing/2014/main" id="{014C2DE5-324C-1AE3-5615-4282AB226D92}"/>
                      </a:ext>
                    </a:extLst>
                  </xdr:cNvPr>
                  <xdr:cNvGrpSpPr/>
                </xdr:nvGrpSpPr>
                <xdr:grpSpPr>
                  <a:xfrm>
                    <a:off x="2510486" y="4373275"/>
                    <a:ext cx="1169616" cy="129210"/>
                    <a:chOff x="2581358" y="4496127"/>
                    <a:chExt cx="1188989" cy="128546"/>
                  </a:xfrm>
                </xdr:grpSpPr>
                <xdr:cxnSp macro="">
                  <xdr:nvCxnSpPr>
                    <xdr:cNvPr id="64" name="Straight Arrow Connector 63">
                      <a:extLst>
                        <a:ext uri="{FF2B5EF4-FFF2-40B4-BE49-F238E27FC236}">
                          <a16:creationId xmlns:a16="http://schemas.microsoft.com/office/drawing/2014/main" id="{B02531D9-939B-E0C2-5408-DE4083F1C1D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5" name="TextBox 64">
                      <a:extLst>
                        <a:ext uri="{FF2B5EF4-FFF2-40B4-BE49-F238E27FC236}">
                          <a16:creationId xmlns:a16="http://schemas.microsoft.com/office/drawing/2014/main" id="{43FD0BF7-64C2-57AD-F923-2956D4E36DC7}"/>
                        </a:ext>
                      </a:extLst>
                    </xdr:cNvPr>
                    <xdr:cNvSpPr txBox="1"/>
                  </xdr:nvSpPr>
                  <xdr:spPr>
                    <a:xfrm>
                      <a:off x="2581358" y="4496127"/>
                      <a:ext cx="660172"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Humidity in Lab</a:t>
                      </a:r>
                    </a:p>
                  </xdr:txBody>
                </xdr:sp>
              </xdr:grpSp>
              <xdr:grpSp>
                <xdr:nvGrpSpPr>
                  <xdr:cNvPr id="58" name="Group 57">
                    <a:extLst>
                      <a:ext uri="{FF2B5EF4-FFF2-40B4-BE49-F238E27FC236}">
                        <a16:creationId xmlns:a16="http://schemas.microsoft.com/office/drawing/2014/main" id="{F65E8111-6521-D6C2-17BD-E4A8AA417BE9}"/>
                      </a:ext>
                    </a:extLst>
                  </xdr:cNvPr>
                  <xdr:cNvGrpSpPr/>
                </xdr:nvGrpSpPr>
                <xdr:grpSpPr>
                  <a:xfrm>
                    <a:off x="2689758" y="4677540"/>
                    <a:ext cx="1169616" cy="129210"/>
                    <a:chOff x="2581358" y="4496127"/>
                    <a:chExt cx="1188989" cy="128548"/>
                  </a:xfrm>
                </xdr:grpSpPr>
                <xdr:cxnSp macro="">
                  <xdr:nvCxnSpPr>
                    <xdr:cNvPr id="62" name="Straight Arrow Connector 61">
                      <a:extLst>
                        <a:ext uri="{FF2B5EF4-FFF2-40B4-BE49-F238E27FC236}">
                          <a16:creationId xmlns:a16="http://schemas.microsoft.com/office/drawing/2014/main" id="{F725B7AD-808A-BB88-A121-0E5159FC5351}"/>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3" name="TextBox 62">
                      <a:extLst>
                        <a:ext uri="{FF2B5EF4-FFF2-40B4-BE49-F238E27FC236}">
                          <a16:creationId xmlns:a16="http://schemas.microsoft.com/office/drawing/2014/main" id="{4CE167E6-3BC5-14E9-797E-E3F618038EE5}"/>
                        </a:ext>
                      </a:extLst>
                    </xdr:cNvPr>
                    <xdr:cNvSpPr txBox="1"/>
                  </xdr:nvSpPr>
                  <xdr:spPr>
                    <a:xfrm>
                      <a:off x="2581358" y="4496127"/>
                      <a:ext cx="743905"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Airflow and drafts</a:t>
                      </a:r>
                    </a:p>
                  </xdr:txBody>
                </xdr:sp>
              </xdr:grpSp>
              <xdr:grpSp>
                <xdr:nvGrpSpPr>
                  <xdr:cNvPr id="59" name="Group 58">
                    <a:extLst>
                      <a:ext uri="{FF2B5EF4-FFF2-40B4-BE49-F238E27FC236}">
                        <a16:creationId xmlns:a16="http://schemas.microsoft.com/office/drawing/2014/main" id="{E8D2B362-1EA0-A8A7-5097-05E02E7174CD}"/>
                      </a:ext>
                    </a:extLst>
                  </xdr:cNvPr>
                  <xdr:cNvGrpSpPr/>
                </xdr:nvGrpSpPr>
                <xdr:grpSpPr>
                  <a:xfrm>
                    <a:off x="2872638" y="4981873"/>
                    <a:ext cx="1169616" cy="129210"/>
                    <a:chOff x="2581358" y="4496127"/>
                    <a:chExt cx="1188989" cy="128546"/>
                  </a:xfrm>
                </xdr:grpSpPr>
                <xdr:cxnSp macro="">
                  <xdr:nvCxnSpPr>
                    <xdr:cNvPr id="60" name="Straight Arrow Connector 59">
                      <a:extLst>
                        <a:ext uri="{FF2B5EF4-FFF2-40B4-BE49-F238E27FC236}">
                          <a16:creationId xmlns:a16="http://schemas.microsoft.com/office/drawing/2014/main" id="{80F78660-9016-A893-79F7-DDCB079D23D0}"/>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1" name="TextBox 60">
                      <a:extLst>
                        <a:ext uri="{FF2B5EF4-FFF2-40B4-BE49-F238E27FC236}">
                          <a16:creationId xmlns:a16="http://schemas.microsoft.com/office/drawing/2014/main" id="{CE4AD284-8F82-9B47-5638-8C5748ABC7E5}"/>
                        </a:ext>
                      </a:extLst>
                    </xdr:cNvPr>
                    <xdr:cNvSpPr txBox="1"/>
                  </xdr:nvSpPr>
                  <xdr:spPr>
                    <a:xfrm>
                      <a:off x="2581358" y="4496127"/>
                      <a:ext cx="908093"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Ambient temperature</a:t>
                      </a:r>
                    </a:p>
                  </xdr:txBody>
                </xdr:sp>
              </xdr:grpSp>
            </xdr:grpSp>
            <xdr:grpSp>
              <xdr:nvGrpSpPr>
                <xdr:cNvPr id="45" name="Group 44">
                  <a:extLst>
                    <a:ext uri="{FF2B5EF4-FFF2-40B4-BE49-F238E27FC236}">
                      <a16:creationId xmlns:a16="http://schemas.microsoft.com/office/drawing/2014/main" id="{E7C395F8-CB37-093A-19BF-3FAB1619FD15}"/>
                    </a:ext>
                  </a:extLst>
                </xdr:cNvPr>
                <xdr:cNvGrpSpPr/>
              </xdr:nvGrpSpPr>
              <xdr:grpSpPr>
                <a:xfrm flipV="1">
                  <a:off x="2798080" y="5250812"/>
                  <a:ext cx="1658123" cy="955732"/>
                  <a:chOff x="2511471" y="4309314"/>
                  <a:chExt cx="1623687" cy="946649"/>
                </a:xfrm>
              </xdr:grpSpPr>
              <xdr:cxnSp macro="">
                <xdr:nvCxnSpPr>
                  <xdr:cNvPr id="46" name="Straight Arrow Connector 45">
                    <a:extLst>
                      <a:ext uri="{FF2B5EF4-FFF2-40B4-BE49-F238E27FC236}">
                        <a16:creationId xmlns:a16="http://schemas.microsoft.com/office/drawing/2014/main" id="{BB1791A9-F1BF-B3D2-7B46-0B273614FB6A}"/>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47" name="Group 46">
                    <a:extLst>
                      <a:ext uri="{FF2B5EF4-FFF2-40B4-BE49-F238E27FC236}">
                        <a16:creationId xmlns:a16="http://schemas.microsoft.com/office/drawing/2014/main" id="{69D1C4DF-7149-80AC-8024-78923AA830BC}"/>
                      </a:ext>
                    </a:extLst>
                  </xdr:cNvPr>
                  <xdr:cNvGrpSpPr/>
                </xdr:nvGrpSpPr>
                <xdr:grpSpPr>
                  <a:xfrm>
                    <a:off x="2511471" y="4371584"/>
                    <a:ext cx="1168648" cy="129297"/>
                    <a:chOff x="2582347" y="4494426"/>
                    <a:chExt cx="1188000" cy="128632"/>
                  </a:xfrm>
                </xdr:grpSpPr>
                <xdr:cxnSp macro="">
                  <xdr:nvCxnSpPr>
                    <xdr:cNvPr id="54" name="Straight Arrow Connector 53">
                      <a:extLst>
                        <a:ext uri="{FF2B5EF4-FFF2-40B4-BE49-F238E27FC236}">
                          <a16:creationId xmlns:a16="http://schemas.microsoft.com/office/drawing/2014/main" id="{37326547-CEBC-90F7-7260-C321813D3FD8}"/>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5" name="TextBox 54">
                      <a:extLst>
                        <a:ext uri="{FF2B5EF4-FFF2-40B4-BE49-F238E27FC236}">
                          <a16:creationId xmlns:a16="http://schemas.microsoft.com/office/drawing/2014/main" id="{7BD47DED-A4FD-CFDF-732E-2C6A5381E741}"/>
                        </a:ext>
                      </a:extLst>
                    </xdr:cNvPr>
                    <xdr:cNvSpPr txBox="1"/>
                  </xdr:nvSpPr>
                  <xdr:spPr>
                    <a:xfrm rot="10800000">
                      <a:off x="2598531" y="4494426"/>
                      <a:ext cx="670573"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Crucible quality</a:t>
                      </a:r>
                    </a:p>
                  </xdr:txBody>
                </xdr:sp>
              </xdr:grpSp>
              <xdr:grpSp>
                <xdr:nvGrpSpPr>
                  <xdr:cNvPr id="48" name="Group 47">
                    <a:extLst>
                      <a:ext uri="{FF2B5EF4-FFF2-40B4-BE49-F238E27FC236}">
                        <a16:creationId xmlns:a16="http://schemas.microsoft.com/office/drawing/2014/main" id="{1CDA9CC1-C23E-C67F-F09E-D8FDA35AD809}"/>
                      </a:ext>
                    </a:extLst>
                  </xdr:cNvPr>
                  <xdr:cNvGrpSpPr/>
                </xdr:nvGrpSpPr>
                <xdr:grpSpPr>
                  <a:xfrm>
                    <a:off x="2690740" y="4675850"/>
                    <a:ext cx="1168646" cy="129297"/>
                    <a:chOff x="2582347" y="4494426"/>
                    <a:chExt cx="1188000" cy="128634"/>
                  </a:xfrm>
                </xdr:grpSpPr>
                <xdr:cxnSp macro="">
                  <xdr:nvCxnSpPr>
                    <xdr:cNvPr id="52" name="Straight Arrow Connector 51">
                      <a:extLst>
                        <a:ext uri="{FF2B5EF4-FFF2-40B4-BE49-F238E27FC236}">
                          <a16:creationId xmlns:a16="http://schemas.microsoft.com/office/drawing/2014/main" id="{1A808818-E65C-FDC5-5B81-87091BA3F106}"/>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3" name="TextBox 52">
                      <a:extLst>
                        <a:ext uri="{FF2B5EF4-FFF2-40B4-BE49-F238E27FC236}">
                          <a16:creationId xmlns:a16="http://schemas.microsoft.com/office/drawing/2014/main" id="{9845E5FC-AF5B-606C-0255-4E073C28D3E7}"/>
                        </a:ext>
                      </a:extLst>
                    </xdr:cNvPr>
                    <xdr:cNvSpPr txBox="1"/>
                  </xdr:nvSpPr>
                  <xdr:spPr>
                    <a:xfrm rot="10800000">
                      <a:off x="2603375" y="4494426"/>
                      <a:ext cx="793431"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Prep. error</a:t>
                      </a:r>
                    </a:p>
                  </xdr:txBody>
                </xdr:sp>
              </xdr:grpSp>
              <xdr:grpSp>
                <xdr:nvGrpSpPr>
                  <xdr:cNvPr id="49" name="Group 48">
                    <a:extLst>
                      <a:ext uri="{FF2B5EF4-FFF2-40B4-BE49-F238E27FC236}">
                        <a16:creationId xmlns:a16="http://schemas.microsoft.com/office/drawing/2014/main" id="{FDD16045-7EA1-62DA-8997-BCA3642D0422}"/>
                      </a:ext>
                    </a:extLst>
                  </xdr:cNvPr>
                  <xdr:cNvGrpSpPr/>
                </xdr:nvGrpSpPr>
                <xdr:grpSpPr>
                  <a:xfrm>
                    <a:off x="2873627" y="4980504"/>
                    <a:ext cx="1168650" cy="129297"/>
                    <a:chOff x="2582347" y="4494747"/>
                    <a:chExt cx="1188000" cy="128632"/>
                  </a:xfrm>
                </xdr:grpSpPr>
                <xdr:cxnSp macro="">
                  <xdr:nvCxnSpPr>
                    <xdr:cNvPr id="50" name="Straight Arrow Connector 49">
                      <a:extLst>
                        <a:ext uri="{FF2B5EF4-FFF2-40B4-BE49-F238E27FC236}">
                          <a16:creationId xmlns:a16="http://schemas.microsoft.com/office/drawing/2014/main" id="{84B5D6F7-420E-22F6-78AD-7302424FC86E}"/>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1" name="TextBox 50">
                      <a:extLst>
                        <a:ext uri="{FF2B5EF4-FFF2-40B4-BE49-F238E27FC236}">
                          <a16:creationId xmlns:a16="http://schemas.microsoft.com/office/drawing/2014/main" id="{25ED6CAD-66A8-6A69-5135-166189B8BE13}"/>
                        </a:ext>
                      </a:extLst>
                    </xdr:cNvPr>
                    <xdr:cNvSpPr txBox="1"/>
                  </xdr:nvSpPr>
                  <xdr:spPr>
                    <a:xfrm rot="10800000">
                      <a:off x="2591430" y="4494747"/>
                      <a:ext cx="802194"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r>
                        <a:rPr lang="en-US" sz="750"/>
                        <a:t>Coal heterogeneity</a:t>
                      </a:r>
                    </a:p>
                  </xdr:txBody>
                </xdr:sp>
              </xdr:grpSp>
            </xdr:grpSp>
          </xdr:grpSp>
          <xdr:grpSp>
            <xdr:nvGrpSpPr>
              <xdr:cNvPr id="33" name="Group 32">
                <a:extLst>
                  <a:ext uri="{FF2B5EF4-FFF2-40B4-BE49-F238E27FC236}">
                    <a16:creationId xmlns:a16="http://schemas.microsoft.com/office/drawing/2014/main" id="{828CAA58-F714-4A21-4E7D-DBCE7FA9328E}"/>
                  </a:ext>
                </a:extLst>
              </xdr:cNvPr>
              <xdr:cNvGrpSpPr/>
            </xdr:nvGrpSpPr>
            <xdr:grpSpPr>
              <a:xfrm>
                <a:off x="36478" y="4249637"/>
                <a:ext cx="1659124" cy="956376"/>
                <a:chOff x="2510485" y="4309314"/>
                <a:chExt cx="1624673" cy="946649"/>
              </a:xfrm>
            </xdr:grpSpPr>
            <xdr:cxnSp macro="">
              <xdr:nvCxnSpPr>
                <xdr:cNvPr id="34" name="Straight Arrow Connector 33">
                  <a:extLst>
                    <a:ext uri="{FF2B5EF4-FFF2-40B4-BE49-F238E27FC236}">
                      <a16:creationId xmlns:a16="http://schemas.microsoft.com/office/drawing/2014/main" id="{6D44CE1B-6540-D852-0720-F73D1584E591}"/>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35" name="Group 34">
                  <a:extLst>
                    <a:ext uri="{FF2B5EF4-FFF2-40B4-BE49-F238E27FC236}">
                      <a16:creationId xmlns:a16="http://schemas.microsoft.com/office/drawing/2014/main" id="{302EC696-47F4-EA56-CC33-2A6CB75AAFB5}"/>
                    </a:ext>
                  </a:extLst>
                </xdr:cNvPr>
                <xdr:cNvGrpSpPr/>
              </xdr:nvGrpSpPr>
              <xdr:grpSpPr>
                <a:xfrm>
                  <a:off x="2510485" y="4373275"/>
                  <a:ext cx="1169617" cy="129210"/>
                  <a:chOff x="2581357" y="4496127"/>
                  <a:chExt cx="1188990" cy="128546"/>
                </a:xfrm>
              </xdr:grpSpPr>
              <xdr:cxnSp macro="">
                <xdr:nvCxnSpPr>
                  <xdr:cNvPr id="42" name="Straight Arrow Connector 41">
                    <a:extLst>
                      <a:ext uri="{FF2B5EF4-FFF2-40B4-BE49-F238E27FC236}">
                        <a16:creationId xmlns:a16="http://schemas.microsoft.com/office/drawing/2014/main" id="{90D65D1D-8D3B-6547-E4E3-7A7A1D9355FE}"/>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43" name="TextBox 42">
                    <a:extLst>
                      <a:ext uri="{FF2B5EF4-FFF2-40B4-BE49-F238E27FC236}">
                        <a16:creationId xmlns:a16="http://schemas.microsoft.com/office/drawing/2014/main" id="{CA149556-3DE8-9745-D1D3-50598352C158}"/>
                      </a:ext>
                    </a:extLst>
                  </xdr:cNvPr>
                  <xdr:cNvSpPr txBox="1"/>
                </xdr:nvSpPr>
                <xdr:spPr>
                  <a:xfrm>
                    <a:off x="2581357" y="4496127"/>
                    <a:ext cx="654756"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Handling errors</a:t>
                    </a:r>
                  </a:p>
                </xdr:txBody>
              </xdr:sp>
            </xdr:grpSp>
            <xdr:grpSp>
              <xdr:nvGrpSpPr>
                <xdr:cNvPr id="36" name="Group 35">
                  <a:extLst>
                    <a:ext uri="{FF2B5EF4-FFF2-40B4-BE49-F238E27FC236}">
                      <a16:creationId xmlns:a16="http://schemas.microsoft.com/office/drawing/2014/main" id="{1CD2C858-0E0F-751F-65DD-D5C7DCAA4361}"/>
                    </a:ext>
                  </a:extLst>
                </xdr:cNvPr>
                <xdr:cNvGrpSpPr/>
              </xdr:nvGrpSpPr>
              <xdr:grpSpPr>
                <a:xfrm>
                  <a:off x="2689759" y="4677540"/>
                  <a:ext cx="1169618" cy="129210"/>
                  <a:chOff x="2581357" y="4496127"/>
                  <a:chExt cx="1188990" cy="128548"/>
                </a:xfrm>
              </xdr:grpSpPr>
              <xdr:cxnSp macro="">
                <xdr:nvCxnSpPr>
                  <xdr:cNvPr id="40" name="Straight Arrow Connector 39">
                    <a:extLst>
                      <a:ext uri="{FF2B5EF4-FFF2-40B4-BE49-F238E27FC236}">
                        <a16:creationId xmlns:a16="http://schemas.microsoft.com/office/drawing/2014/main" id="{3AC9E348-4939-E4B4-EA24-6E30C2488626}"/>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41" name="TextBox 40">
                    <a:extLst>
                      <a:ext uri="{FF2B5EF4-FFF2-40B4-BE49-F238E27FC236}">
                        <a16:creationId xmlns:a16="http://schemas.microsoft.com/office/drawing/2014/main" id="{FD35B6EF-4829-92DA-6102-E320C1FC7B6D}"/>
                      </a:ext>
                    </a:extLst>
                  </xdr:cNvPr>
                  <xdr:cNvSpPr txBox="1"/>
                </xdr:nvSpPr>
                <xdr:spPr>
                  <a:xfrm>
                    <a:off x="2581357" y="4496127"/>
                    <a:ext cx="1145181" cy="128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Reading and weighing error</a:t>
                    </a:r>
                  </a:p>
                </xdr:txBody>
              </xdr:sp>
            </xdr:grpSp>
            <xdr:grpSp>
              <xdr:nvGrpSpPr>
                <xdr:cNvPr id="37" name="Group 36">
                  <a:extLst>
                    <a:ext uri="{FF2B5EF4-FFF2-40B4-BE49-F238E27FC236}">
                      <a16:creationId xmlns:a16="http://schemas.microsoft.com/office/drawing/2014/main" id="{3B626C5D-47F0-86C5-E86F-7F4BE33C2432}"/>
                    </a:ext>
                  </a:extLst>
                </xdr:cNvPr>
                <xdr:cNvGrpSpPr/>
              </xdr:nvGrpSpPr>
              <xdr:grpSpPr>
                <a:xfrm>
                  <a:off x="2872637" y="4981873"/>
                  <a:ext cx="1169617" cy="129210"/>
                  <a:chOff x="2581357" y="4496127"/>
                  <a:chExt cx="1188990" cy="128546"/>
                </a:xfrm>
              </xdr:grpSpPr>
              <xdr:cxnSp macro="">
                <xdr:nvCxnSpPr>
                  <xdr:cNvPr id="38" name="Straight Arrow Connector 37">
                    <a:extLst>
                      <a:ext uri="{FF2B5EF4-FFF2-40B4-BE49-F238E27FC236}">
                        <a16:creationId xmlns:a16="http://schemas.microsoft.com/office/drawing/2014/main" id="{E20678B5-4B46-8138-8388-A92E9AB19331}"/>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39" name="TextBox 38">
                    <a:extLst>
                      <a:ext uri="{FF2B5EF4-FFF2-40B4-BE49-F238E27FC236}">
                        <a16:creationId xmlns:a16="http://schemas.microsoft.com/office/drawing/2014/main" id="{425368FD-9246-CE7F-D985-68AF383AC7D2}"/>
                      </a:ext>
                    </a:extLst>
                  </xdr:cNvPr>
                  <xdr:cNvSpPr txBox="1"/>
                </xdr:nvSpPr>
                <xdr:spPr>
                  <a:xfrm>
                    <a:off x="2581357" y="4496127"/>
                    <a:ext cx="681195"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labeling</a:t>
                    </a:r>
                  </a:p>
                </xdr:txBody>
              </xdr:sp>
            </xdr:grpSp>
          </xdr:grpSp>
        </xdr:grpSp>
        <xdr:grpSp>
          <xdr:nvGrpSpPr>
            <xdr:cNvPr id="27" name="Group 26">
              <a:extLst>
                <a:ext uri="{FF2B5EF4-FFF2-40B4-BE49-F238E27FC236}">
                  <a16:creationId xmlns:a16="http://schemas.microsoft.com/office/drawing/2014/main" id="{2FE951C0-703C-A824-2499-004F0113772F}"/>
                </a:ext>
              </a:extLst>
            </xdr:cNvPr>
            <xdr:cNvGrpSpPr/>
          </xdr:nvGrpSpPr>
          <xdr:grpSpPr>
            <a:xfrm>
              <a:off x="466117" y="5056196"/>
              <a:ext cx="5125584" cy="234941"/>
              <a:chOff x="466117" y="5052709"/>
              <a:chExt cx="5125584" cy="234941"/>
            </a:xfrm>
          </xdr:grpSpPr>
          <xdr:cxnSp macro="">
            <xdr:nvCxnSpPr>
              <xdr:cNvPr id="28" name="Straight Arrow Connector 27">
                <a:extLst>
                  <a:ext uri="{FF2B5EF4-FFF2-40B4-BE49-F238E27FC236}">
                    <a16:creationId xmlns:a16="http://schemas.microsoft.com/office/drawing/2014/main" id="{60415A65-CD4A-333D-BF21-D184CFFFFD4D}"/>
                  </a:ext>
                </a:extLst>
              </xdr:cNvPr>
              <xdr:cNvCxnSpPr/>
            </xdr:nvCxnSpPr>
            <xdr:spPr>
              <a:xfrm>
                <a:off x="950169" y="5167319"/>
                <a:ext cx="3826593" cy="0"/>
              </a:xfrm>
              <a:prstGeom prst="straightConnector1">
                <a:avLst/>
              </a:prstGeom>
              <a:ln w="41275" cmpd="dbl">
                <a:headEnd type="diamond" w="sm" len="sm"/>
                <a:tailEnd type="stealth" w="sm" len="lg"/>
              </a:ln>
            </xdr:spPr>
            <xdr:style>
              <a:lnRef idx="2">
                <a:schemeClr val="dk1"/>
              </a:lnRef>
              <a:fillRef idx="0">
                <a:schemeClr val="dk1"/>
              </a:fillRef>
              <a:effectRef idx="1">
                <a:schemeClr val="dk1"/>
              </a:effectRef>
              <a:fontRef idx="minor">
                <a:schemeClr val="tx1"/>
              </a:fontRef>
            </xdr:style>
          </xdr:cxnSp>
          <xdr:sp macro="" textlink="">
            <xdr:nvSpPr>
              <xdr:cNvPr id="29" name="TextBox 28">
                <a:extLst>
                  <a:ext uri="{FF2B5EF4-FFF2-40B4-BE49-F238E27FC236}">
                    <a16:creationId xmlns:a16="http://schemas.microsoft.com/office/drawing/2014/main" id="{D8100C3D-9F25-9E3E-68A6-1B29E071D79E}"/>
                  </a:ext>
                </a:extLst>
              </xdr:cNvPr>
              <xdr:cNvSpPr txBox="1"/>
            </xdr:nvSpPr>
            <xdr:spPr>
              <a:xfrm>
                <a:off x="466117" y="5052709"/>
                <a:ext cx="476660" cy="22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Sample</a:t>
                </a:r>
              </a:p>
            </xdr:txBody>
          </xdr:sp>
          <xdr:sp macro="" textlink="">
            <xdr:nvSpPr>
              <xdr:cNvPr id="30" name="TextBox 29">
                <a:extLst>
                  <a:ext uri="{FF2B5EF4-FFF2-40B4-BE49-F238E27FC236}">
                    <a16:creationId xmlns:a16="http://schemas.microsoft.com/office/drawing/2014/main" id="{16FFF799-E89E-C72C-4AD0-4ACBA6B0FD1E}"/>
                  </a:ext>
                </a:extLst>
              </xdr:cNvPr>
              <xdr:cNvSpPr txBox="1"/>
            </xdr:nvSpPr>
            <xdr:spPr>
              <a:xfrm>
                <a:off x="4773039" y="5052709"/>
                <a:ext cx="818662" cy="234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Volatile Matter</a:t>
                </a:r>
              </a:p>
            </xdr:txBody>
          </xdr:sp>
        </xdr:grpSp>
      </xdr:grpSp>
      <xdr:grpSp>
        <xdr:nvGrpSpPr>
          <xdr:cNvPr id="19" name="Group 18">
            <a:extLst>
              <a:ext uri="{FF2B5EF4-FFF2-40B4-BE49-F238E27FC236}">
                <a16:creationId xmlns:a16="http://schemas.microsoft.com/office/drawing/2014/main" id="{8FD92339-78B2-6B39-259A-6CD1618832EA}"/>
              </a:ext>
            </a:extLst>
          </xdr:cNvPr>
          <xdr:cNvGrpSpPr/>
        </xdr:nvGrpSpPr>
        <xdr:grpSpPr>
          <a:xfrm>
            <a:off x="1643113" y="4493795"/>
            <a:ext cx="3900098" cy="140872"/>
            <a:chOff x="1643113" y="4493795"/>
            <a:chExt cx="3900098" cy="140872"/>
          </a:xfrm>
        </xdr:grpSpPr>
        <xdr:sp macro="" textlink="">
          <xdr:nvSpPr>
            <xdr:cNvPr id="23" name="TextBox 22">
              <a:extLst>
                <a:ext uri="{FF2B5EF4-FFF2-40B4-BE49-F238E27FC236}">
                  <a16:creationId xmlns:a16="http://schemas.microsoft.com/office/drawing/2014/main" id="{8474802B-6139-E596-D735-78C1F3DB75D9}"/>
                </a:ext>
              </a:extLst>
            </xdr:cNvPr>
            <xdr:cNvSpPr txBox="1"/>
          </xdr:nvSpPr>
          <xdr:spPr>
            <a:xfrm>
              <a:off x="16431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Human (Operator) Error</a:t>
              </a:r>
            </a:p>
          </xdr:txBody>
        </xdr:sp>
        <xdr:sp macro="" textlink="">
          <xdr:nvSpPr>
            <xdr:cNvPr id="24" name="TextBox 23">
              <a:extLst>
                <a:ext uri="{FF2B5EF4-FFF2-40B4-BE49-F238E27FC236}">
                  <a16:creationId xmlns:a16="http://schemas.microsoft.com/office/drawing/2014/main" id="{7F937F7D-5766-B2A7-0271-BD4EC33BA8C7}"/>
                </a:ext>
              </a:extLst>
            </xdr:cNvPr>
            <xdr:cNvSpPr txBox="1"/>
          </xdr:nvSpPr>
          <xdr:spPr>
            <a:xfrm>
              <a:off x="299566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Environment</a:t>
              </a:r>
            </a:p>
          </xdr:txBody>
        </xdr:sp>
        <xdr:sp macro="" textlink="">
          <xdr:nvSpPr>
            <xdr:cNvPr id="25" name="TextBox 24">
              <a:extLst>
                <a:ext uri="{FF2B5EF4-FFF2-40B4-BE49-F238E27FC236}">
                  <a16:creationId xmlns:a16="http://schemas.microsoft.com/office/drawing/2014/main" id="{DE8DBE72-BC34-AA4E-97EB-CCA56E376352}"/>
                </a:ext>
              </a:extLst>
            </xdr:cNvPr>
            <xdr:cNvSpPr txBox="1"/>
          </xdr:nvSpPr>
          <xdr:spPr>
            <a:xfrm>
              <a:off x="43482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Methods</a:t>
              </a:r>
            </a:p>
          </xdr:txBody>
        </xdr:sp>
      </xdr:grpSp>
      <xdr:grpSp>
        <xdr:nvGrpSpPr>
          <xdr:cNvPr id="20" name="Group 19">
            <a:extLst>
              <a:ext uri="{FF2B5EF4-FFF2-40B4-BE49-F238E27FC236}">
                <a16:creationId xmlns:a16="http://schemas.microsoft.com/office/drawing/2014/main" id="{32A94474-33AC-61D1-6134-41B1A8E0F585}"/>
              </a:ext>
            </a:extLst>
          </xdr:cNvPr>
          <xdr:cNvGrpSpPr/>
        </xdr:nvGrpSpPr>
        <xdr:grpSpPr>
          <a:xfrm>
            <a:off x="2995663" y="6574055"/>
            <a:ext cx="2547548" cy="140872"/>
            <a:chOff x="2995663" y="6574055"/>
            <a:chExt cx="2547548" cy="140872"/>
          </a:xfrm>
        </xdr:grpSpPr>
        <xdr:sp macro="" textlink="">
          <xdr:nvSpPr>
            <xdr:cNvPr id="21" name="TextBox 20">
              <a:extLst>
                <a:ext uri="{FF2B5EF4-FFF2-40B4-BE49-F238E27FC236}">
                  <a16:creationId xmlns:a16="http://schemas.microsoft.com/office/drawing/2014/main" id="{8B1FC1C5-2C54-AA14-191C-8BCBC583F607}"/>
                </a:ext>
              </a:extLst>
            </xdr:cNvPr>
            <xdr:cNvSpPr txBox="1"/>
          </xdr:nvSpPr>
          <xdr:spPr>
            <a:xfrm>
              <a:off x="2995663" y="657405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Materials</a:t>
              </a:r>
            </a:p>
          </xdr:txBody>
        </xdr:sp>
        <xdr:sp macro="" textlink="">
          <xdr:nvSpPr>
            <xdr:cNvPr id="22" name="TextBox 21">
              <a:extLst>
                <a:ext uri="{FF2B5EF4-FFF2-40B4-BE49-F238E27FC236}">
                  <a16:creationId xmlns:a16="http://schemas.microsoft.com/office/drawing/2014/main" id="{B026E806-413C-17B6-2408-563B90930A48}"/>
                </a:ext>
              </a:extLst>
            </xdr:cNvPr>
            <xdr:cNvSpPr txBox="1"/>
          </xdr:nvSpPr>
          <xdr:spPr>
            <a:xfrm>
              <a:off x="4348213" y="657405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Instruments</a:t>
              </a:r>
            </a:p>
          </xdr:txBody>
        </xdr:sp>
      </xdr:grpSp>
    </xdr:grpSp>
    <xdr:clientData/>
  </xdr:twoCellAnchor>
  <xdr:oneCellAnchor>
    <xdr:from>
      <xdr:col>0</xdr:col>
      <xdr:colOff>30078</xdr:colOff>
      <xdr:row>0</xdr:row>
      <xdr:rowOff>40113</xdr:rowOff>
    </xdr:from>
    <xdr:ext cx="396000" cy="396000"/>
    <xdr:pic>
      <xdr:nvPicPr>
        <xdr:cNvPr id="88" name="Graphic 87">
          <a:extLst>
            <a:ext uri="{FF2B5EF4-FFF2-40B4-BE49-F238E27FC236}">
              <a16:creationId xmlns:a16="http://schemas.microsoft.com/office/drawing/2014/main" id="{17BF6857-24AA-4488-9806-2CDA4E871F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78" y="40113"/>
          <a:ext cx="396000" cy="396000"/>
        </a:xfrm>
        <a:prstGeom prst="rect">
          <a:avLst/>
        </a:prstGeom>
      </xdr:spPr>
    </xdr:pic>
    <xdr:clientData/>
  </xdr:oneCellAnchor>
  <xdr:oneCellAnchor>
    <xdr:from>
      <xdr:col>60</xdr:col>
      <xdr:colOff>30078</xdr:colOff>
      <xdr:row>0</xdr:row>
      <xdr:rowOff>40113</xdr:rowOff>
    </xdr:from>
    <xdr:ext cx="396000" cy="396000"/>
    <xdr:pic>
      <xdr:nvPicPr>
        <xdr:cNvPr id="89" name="Graphic 88">
          <a:extLst>
            <a:ext uri="{FF2B5EF4-FFF2-40B4-BE49-F238E27FC236}">
              <a16:creationId xmlns:a16="http://schemas.microsoft.com/office/drawing/2014/main" id="{B816A418-B179-4829-824B-4C7B90A72E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45078" y="40113"/>
          <a:ext cx="396000" cy="396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6</xdr:col>
      <xdr:colOff>49174</xdr:colOff>
      <xdr:row>14</xdr:row>
      <xdr:rowOff>144379</xdr:rowOff>
    </xdr:from>
    <xdr:to>
      <xdr:col>49</xdr:col>
      <xdr:colOff>30197</xdr:colOff>
      <xdr:row>25</xdr:row>
      <xdr:rowOff>43367</xdr:rowOff>
    </xdr:to>
    <xdr:grpSp>
      <xdr:nvGrpSpPr>
        <xdr:cNvPr id="2" name="Group 1">
          <a:extLst>
            <a:ext uri="{FF2B5EF4-FFF2-40B4-BE49-F238E27FC236}">
              <a16:creationId xmlns:a16="http://schemas.microsoft.com/office/drawing/2014/main" id="{340C933C-6826-4092-A3F4-AB439164DF3D}"/>
            </a:ext>
          </a:extLst>
        </xdr:cNvPr>
        <xdr:cNvGrpSpPr/>
      </xdr:nvGrpSpPr>
      <xdr:grpSpPr>
        <a:xfrm>
          <a:off x="620674" y="2277979"/>
          <a:ext cx="4076773" cy="1575388"/>
          <a:chOff x="590909" y="2507770"/>
          <a:chExt cx="4076773" cy="1601581"/>
        </a:xfrm>
      </xdr:grpSpPr>
      <xdr:grpSp>
        <xdr:nvGrpSpPr>
          <xdr:cNvPr id="3" name="Group 2">
            <a:extLst>
              <a:ext uri="{FF2B5EF4-FFF2-40B4-BE49-F238E27FC236}">
                <a16:creationId xmlns:a16="http://schemas.microsoft.com/office/drawing/2014/main" id="{40B3F110-4686-34B8-5923-DF47C3E9596B}"/>
              </a:ext>
            </a:extLst>
          </xdr:cNvPr>
          <xdr:cNvGrpSpPr/>
        </xdr:nvGrpSpPr>
        <xdr:grpSpPr>
          <a:xfrm>
            <a:off x="590909" y="2507770"/>
            <a:ext cx="4065870" cy="367639"/>
            <a:chOff x="603849" y="2223818"/>
            <a:chExt cx="4141351" cy="360000"/>
          </a:xfrm>
        </xdr:grpSpPr>
        <xdr:sp macro="" textlink="">
          <xdr:nvSpPr>
            <xdr:cNvPr id="14" name="Rectangle: Rounded Corners 13">
              <a:extLst>
                <a:ext uri="{FF2B5EF4-FFF2-40B4-BE49-F238E27FC236}">
                  <a16:creationId xmlns:a16="http://schemas.microsoft.com/office/drawing/2014/main" id="{3AB5B1F9-20D6-CC4B-4F07-7BB8476BBE71}"/>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US" sz="900">
                  <a:solidFill>
                    <a:schemeClr val="tx1"/>
                  </a:solidFill>
                  <a:latin typeface="Aptos Narrow" panose="020B0004020202020204" pitchFamily="34" charset="0"/>
                </a:rPr>
                <a:t>Sampling</a:t>
              </a:r>
            </a:p>
          </xdr:txBody>
        </xdr:sp>
        <xdr:sp macro="" textlink="">
          <xdr:nvSpPr>
            <xdr:cNvPr id="15" name="Rectangle: Rounded Corners 14">
              <a:extLst>
                <a:ext uri="{FF2B5EF4-FFF2-40B4-BE49-F238E27FC236}">
                  <a16:creationId xmlns:a16="http://schemas.microsoft.com/office/drawing/2014/main" id="{C5FDF79A-1694-EC6E-BF91-ABE098FB9F54}"/>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Sample Preparation</a:t>
              </a:r>
            </a:p>
            <a:p>
              <a:pPr algn="ctr"/>
              <a:r>
                <a:rPr lang="en-US" sz="700">
                  <a:solidFill>
                    <a:schemeClr val="tx1"/>
                  </a:solidFill>
                  <a:latin typeface="Aptos Narrow" panose="020B0004020202020204" pitchFamily="34" charset="0"/>
                </a:rPr>
                <a:t>(Grinding, drying, weighing, etc.)</a:t>
              </a:r>
              <a:endParaRPr lang="en-US" sz="900">
                <a:solidFill>
                  <a:schemeClr val="tx1"/>
                </a:solidFill>
                <a:latin typeface="Aptos Narrow" panose="020B0004020202020204" pitchFamily="34" charset="0"/>
              </a:endParaRPr>
            </a:p>
          </xdr:txBody>
        </xdr:sp>
        <xdr:cxnSp macro="">
          <xdr:nvCxnSpPr>
            <xdr:cNvPr id="16" name="Straight Arrow Connector 15">
              <a:extLst>
                <a:ext uri="{FF2B5EF4-FFF2-40B4-BE49-F238E27FC236}">
                  <a16:creationId xmlns:a16="http://schemas.microsoft.com/office/drawing/2014/main" id="{F7CA829E-92E1-AFD9-52EC-3FCF4CAEEB5D}"/>
                </a:ext>
              </a:extLst>
            </xdr:cNvPr>
            <xdr:cNvCxnSpPr>
              <a:stCxn id="14" idx="3"/>
              <a:endCxn id="15"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4" name="Group 3">
            <a:extLst>
              <a:ext uri="{FF2B5EF4-FFF2-40B4-BE49-F238E27FC236}">
                <a16:creationId xmlns:a16="http://schemas.microsoft.com/office/drawing/2014/main" id="{9E944668-B492-8A5D-8D5D-D71E604DF031}"/>
              </a:ext>
            </a:extLst>
          </xdr:cNvPr>
          <xdr:cNvGrpSpPr/>
        </xdr:nvGrpSpPr>
        <xdr:grpSpPr>
          <a:xfrm>
            <a:off x="590909" y="3124742"/>
            <a:ext cx="4065870" cy="367638"/>
            <a:chOff x="603849" y="2223818"/>
            <a:chExt cx="4141351" cy="360000"/>
          </a:xfrm>
        </xdr:grpSpPr>
        <xdr:sp macro="" textlink="">
          <xdr:nvSpPr>
            <xdr:cNvPr id="11" name="Rectangle: Rounded Corners 10">
              <a:extLst>
                <a:ext uri="{FF2B5EF4-FFF2-40B4-BE49-F238E27FC236}">
                  <a16:creationId xmlns:a16="http://schemas.microsoft.com/office/drawing/2014/main" id="{5A5D93B2-8D67-AB89-D0C8-F9F661497B8F}"/>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Bomb Calorimeter Run</a:t>
              </a:r>
            </a:p>
            <a:p>
              <a:pPr algn="ctr"/>
              <a:r>
                <a:rPr lang="en-US" sz="700">
                  <a:solidFill>
                    <a:schemeClr val="tx1"/>
                  </a:solidFill>
                  <a:latin typeface="Aptos Narrow" panose="020B0004020202020204" pitchFamily="34" charset="0"/>
                </a:rPr>
                <a:t>(combustion &amp; measurment)</a:t>
              </a:r>
              <a:endParaRPr lang="en-US" sz="900">
                <a:solidFill>
                  <a:schemeClr val="tx1"/>
                </a:solidFill>
                <a:latin typeface="Aptos Narrow" panose="020B0004020202020204" pitchFamily="34" charset="0"/>
              </a:endParaRPr>
            </a:p>
          </xdr:txBody>
        </xdr:sp>
        <xdr:sp macro="" textlink="">
          <xdr:nvSpPr>
            <xdr:cNvPr id="12" name="Rectangle: Rounded Corners 11">
              <a:extLst>
                <a:ext uri="{FF2B5EF4-FFF2-40B4-BE49-F238E27FC236}">
                  <a16:creationId xmlns:a16="http://schemas.microsoft.com/office/drawing/2014/main" id="{A19533EA-479B-E06A-D1ED-3B98EF5F91A2}"/>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Bomb Preparation</a:t>
              </a:r>
            </a:p>
            <a:p>
              <a:pPr algn="ctr"/>
              <a:r>
                <a:rPr lang="en-US" sz="700">
                  <a:solidFill>
                    <a:schemeClr val="tx1"/>
                  </a:solidFill>
                  <a:latin typeface="Aptos Narrow" panose="020B0004020202020204" pitchFamily="34" charset="0"/>
                </a:rPr>
                <a:t>(sample + fuse</a:t>
              </a:r>
              <a:r>
                <a:rPr lang="en-US" sz="700" baseline="0">
                  <a:solidFill>
                    <a:schemeClr val="tx1"/>
                  </a:solidFill>
                  <a:latin typeface="Aptos Narrow" panose="020B0004020202020204" pitchFamily="34" charset="0"/>
                </a:rPr>
                <a:t> wire + O</a:t>
              </a:r>
              <a:r>
                <a:rPr lang="en-US" sz="700" baseline="-25000">
                  <a:solidFill>
                    <a:schemeClr val="tx1"/>
                  </a:solidFill>
                  <a:latin typeface="Aptos Narrow" panose="020B0004020202020204" pitchFamily="34" charset="0"/>
                </a:rPr>
                <a:t>2</a:t>
              </a:r>
              <a:r>
                <a:rPr lang="en-US" sz="700">
                  <a:solidFill>
                    <a:schemeClr val="tx1"/>
                  </a:solidFill>
                  <a:latin typeface="Aptos Narrow" panose="020B0004020202020204" pitchFamily="34" charset="0"/>
                </a:rPr>
                <a:t>)</a:t>
              </a:r>
              <a:endParaRPr lang="en-US" sz="900">
                <a:solidFill>
                  <a:schemeClr val="tx1"/>
                </a:solidFill>
                <a:latin typeface="Aptos Narrow" panose="020B0004020202020204" pitchFamily="34" charset="0"/>
              </a:endParaRPr>
            </a:p>
          </xdr:txBody>
        </xdr:sp>
        <xdr:cxnSp macro="">
          <xdr:nvCxnSpPr>
            <xdr:cNvPr id="13" name="Straight Arrow Connector 12">
              <a:extLst>
                <a:ext uri="{FF2B5EF4-FFF2-40B4-BE49-F238E27FC236}">
                  <a16:creationId xmlns:a16="http://schemas.microsoft.com/office/drawing/2014/main" id="{2CA57C3E-9C5A-DE57-FE10-943D0018FAE7}"/>
                </a:ext>
              </a:extLst>
            </xdr:cNvPr>
            <xdr:cNvCxnSpPr>
              <a:stCxn id="12" idx="1"/>
              <a:endCxn id="11" idx="3"/>
            </xdr:cNvCxnSpPr>
          </xdr:nvCxnSpPr>
          <xdr:spPr>
            <a:xfrm flipH="1">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grpSp>
        <xdr:nvGrpSpPr>
          <xdr:cNvPr id="5" name="Group 4">
            <a:extLst>
              <a:ext uri="{FF2B5EF4-FFF2-40B4-BE49-F238E27FC236}">
                <a16:creationId xmlns:a16="http://schemas.microsoft.com/office/drawing/2014/main" id="{794F0431-6005-2F96-81EF-03EEE3E3B4CD}"/>
              </a:ext>
            </a:extLst>
          </xdr:cNvPr>
          <xdr:cNvGrpSpPr/>
        </xdr:nvGrpSpPr>
        <xdr:grpSpPr>
          <a:xfrm>
            <a:off x="590909" y="3741713"/>
            <a:ext cx="4065870" cy="367638"/>
            <a:chOff x="603849" y="2223818"/>
            <a:chExt cx="4141351" cy="360000"/>
          </a:xfrm>
        </xdr:grpSpPr>
        <xdr:sp macro="" textlink="">
          <xdr:nvSpPr>
            <xdr:cNvPr id="8" name="Rectangle: Rounded Corners 7">
              <a:extLst>
                <a:ext uri="{FF2B5EF4-FFF2-40B4-BE49-F238E27FC236}">
                  <a16:creationId xmlns:a16="http://schemas.microsoft.com/office/drawing/2014/main" id="{999F6B5C-08BC-DDA1-05B6-F1986AD8BAA6}"/>
                </a:ext>
              </a:extLst>
            </xdr:cNvPr>
            <xdr:cNvSpPr/>
          </xdr:nvSpPr>
          <xdr:spPr>
            <a:xfrm>
              <a:off x="603849"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a:solidFill>
                    <a:schemeClr val="tx1"/>
                  </a:solidFill>
                  <a:latin typeface="Aptos Narrow" panose="020B0004020202020204" pitchFamily="34" charset="0"/>
                </a:rPr>
                <a:t>Temperature rise Measurement (∆T)</a:t>
              </a:r>
            </a:p>
          </xdr:txBody>
        </xdr:sp>
        <xdr:sp macro="" textlink="">
          <xdr:nvSpPr>
            <xdr:cNvPr id="9" name="Rectangle: Rounded Corners 8">
              <a:extLst>
                <a:ext uri="{FF2B5EF4-FFF2-40B4-BE49-F238E27FC236}">
                  <a16:creationId xmlns:a16="http://schemas.microsoft.com/office/drawing/2014/main" id="{8F6BB6FF-CFB7-0E1A-AB83-D359CE8FEB7E}"/>
                </a:ext>
              </a:extLst>
            </xdr:cNvPr>
            <xdr:cNvSpPr/>
          </xdr:nvSpPr>
          <xdr:spPr>
            <a:xfrm>
              <a:off x="2945200" y="2223818"/>
              <a:ext cx="1800000" cy="360000"/>
            </a:xfrm>
            <a:prstGeom prst="round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US" sz="900" b="1">
                  <a:solidFill>
                    <a:schemeClr val="tx1"/>
                  </a:solidFill>
                  <a:latin typeface="Aptos Narrow" panose="020B0004020202020204" pitchFamily="34" charset="0"/>
                </a:rPr>
                <a:t>Calculate GCV, %</a:t>
              </a:r>
            </a:p>
          </xdr:txBody>
        </xdr:sp>
        <xdr:cxnSp macro="">
          <xdr:nvCxnSpPr>
            <xdr:cNvPr id="10" name="Straight Arrow Connector 9">
              <a:extLst>
                <a:ext uri="{FF2B5EF4-FFF2-40B4-BE49-F238E27FC236}">
                  <a16:creationId xmlns:a16="http://schemas.microsoft.com/office/drawing/2014/main" id="{69ED81E0-EA66-6BDD-3F04-C6E41B57391D}"/>
                </a:ext>
              </a:extLst>
            </xdr:cNvPr>
            <xdr:cNvCxnSpPr>
              <a:stCxn id="8" idx="3"/>
              <a:endCxn id="9" idx="1"/>
            </xdr:cNvCxnSpPr>
          </xdr:nvCxnSpPr>
          <xdr:spPr>
            <a:xfrm>
              <a:off x="2403849" y="2403818"/>
              <a:ext cx="541351" cy="0"/>
            </a:xfrm>
            <a:prstGeom prst="straightConnector1">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xnSp macro="">
        <xdr:nvCxnSpPr>
          <xdr:cNvPr id="6" name="Connector: Elbow 5">
            <a:extLst>
              <a:ext uri="{FF2B5EF4-FFF2-40B4-BE49-F238E27FC236}">
                <a16:creationId xmlns:a16="http://schemas.microsoft.com/office/drawing/2014/main" id="{D45E8EBE-EA82-5138-4DFD-BC416D52C265}"/>
              </a:ext>
            </a:extLst>
          </xdr:cNvPr>
          <xdr:cNvCxnSpPr>
            <a:stCxn id="15" idx="3"/>
            <a:endCxn id="12" idx="3"/>
          </xdr:cNvCxnSpPr>
        </xdr:nvCxnSpPr>
        <xdr:spPr>
          <a:xfrm>
            <a:off x="4656779" y="2691589"/>
            <a:ext cx="10903" cy="616972"/>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cxnSp macro="">
        <xdr:nvCxnSpPr>
          <xdr:cNvPr id="7" name="Connector: Elbow 6">
            <a:extLst>
              <a:ext uri="{FF2B5EF4-FFF2-40B4-BE49-F238E27FC236}">
                <a16:creationId xmlns:a16="http://schemas.microsoft.com/office/drawing/2014/main" id="{5784BAE2-6296-C9B2-6028-4AEA42E8C6EF}"/>
              </a:ext>
            </a:extLst>
          </xdr:cNvPr>
          <xdr:cNvCxnSpPr>
            <a:stCxn id="11" idx="1"/>
            <a:endCxn id="8" idx="1"/>
          </xdr:cNvCxnSpPr>
        </xdr:nvCxnSpPr>
        <xdr:spPr>
          <a:xfrm rot="10800000" flipV="1">
            <a:off x="590909" y="3308560"/>
            <a:ext cx="12700" cy="616970"/>
          </a:xfrm>
          <a:prstGeom prst="bentConnector3">
            <a:avLst>
              <a:gd name="adj1" fmla="val 1800000"/>
            </a:avLst>
          </a:prstGeom>
          <a:ln w="6350">
            <a:tailEnd type="triangle" w="sm" len="med"/>
          </a:ln>
        </xdr:spPr>
        <xdr:style>
          <a:lnRef idx="2">
            <a:schemeClr val="dk1"/>
          </a:lnRef>
          <a:fillRef idx="0">
            <a:schemeClr val="dk1"/>
          </a:fillRef>
          <a:effectRef idx="1">
            <a:schemeClr val="dk1"/>
          </a:effectRef>
          <a:fontRef idx="minor">
            <a:schemeClr val="tx1"/>
          </a:fontRef>
        </xdr:style>
      </xdr:cxnSp>
    </xdr:grpSp>
    <xdr:clientData/>
  </xdr:twoCellAnchor>
  <xdr:oneCellAnchor>
    <xdr:from>
      <xdr:col>0</xdr:col>
      <xdr:colOff>30078</xdr:colOff>
      <xdr:row>0</xdr:row>
      <xdr:rowOff>40113</xdr:rowOff>
    </xdr:from>
    <xdr:ext cx="396000" cy="396000"/>
    <xdr:pic>
      <xdr:nvPicPr>
        <xdr:cNvPr id="88" name="Graphic 87">
          <a:extLst>
            <a:ext uri="{FF2B5EF4-FFF2-40B4-BE49-F238E27FC236}">
              <a16:creationId xmlns:a16="http://schemas.microsoft.com/office/drawing/2014/main" id="{05AF965E-B71A-4231-BDCE-F3E017F4C3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78" y="40113"/>
          <a:ext cx="396000" cy="396000"/>
        </a:xfrm>
        <a:prstGeom prst="rect">
          <a:avLst/>
        </a:prstGeom>
      </xdr:spPr>
    </xdr:pic>
    <xdr:clientData/>
  </xdr:oneCellAnchor>
  <xdr:oneCellAnchor>
    <xdr:from>
      <xdr:col>60</xdr:col>
      <xdr:colOff>30078</xdr:colOff>
      <xdr:row>0</xdr:row>
      <xdr:rowOff>40113</xdr:rowOff>
    </xdr:from>
    <xdr:ext cx="396000" cy="396000"/>
    <xdr:pic>
      <xdr:nvPicPr>
        <xdr:cNvPr id="89" name="Graphic 88">
          <a:extLst>
            <a:ext uri="{FF2B5EF4-FFF2-40B4-BE49-F238E27FC236}">
              <a16:creationId xmlns:a16="http://schemas.microsoft.com/office/drawing/2014/main" id="{FFB998FD-36FE-498F-BA1D-795C6587AA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45078" y="40113"/>
          <a:ext cx="396000" cy="396000"/>
        </a:xfrm>
        <a:prstGeom prst="rect">
          <a:avLst/>
        </a:prstGeom>
      </xdr:spPr>
    </xdr:pic>
    <xdr:clientData/>
  </xdr:oneCellAnchor>
  <xdr:twoCellAnchor>
    <xdr:from>
      <xdr:col>4</xdr:col>
      <xdr:colOff>36880</xdr:colOff>
      <xdr:row>27</xdr:row>
      <xdr:rowOff>129448</xdr:rowOff>
    </xdr:from>
    <xdr:to>
      <xdr:col>52</xdr:col>
      <xdr:colOff>80740</xdr:colOff>
      <xdr:row>41</xdr:row>
      <xdr:rowOff>33387</xdr:rowOff>
    </xdr:to>
    <xdr:grpSp>
      <xdr:nvGrpSpPr>
        <xdr:cNvPr id="119" name="Group 118">
          <a:extLst>
            <a:ext uri="{FF2B5EF4-FFF2-40B4-BE49-F238E27FC236}">
              <a16:creationId xmlns:a16="http://schemas.microsoft.com/office/drawing/2014/main" id="{D8B52E4D-9A32-77B7-9C6A-A31BAD5830BB}"/>
            </a:ext>
          </a:extLst>
        </xdr:cNvPr>
        <xdr:cNvGrpSpPr/>
      </xdr:nvGrpSpPr>
      <xdr:grpSpPr>
        <a:xfrm>
          <a:off x="417880" y="4244248"/>
          <a:ext cx="4615860" cy="2037539"/>
          <a:chOff x="428766" y="4244248"/>
          <a:chExt cx="4746488" cy="2037539"/>
        </a:xfrm>
      </xdr:grpSpPr>
      <xdr:grpSp>
        <xdr:nvGrpSpPr>
          <xdr:cNvPr id="27" name="Group 26">
            <a:extLst>
              <a:ext uri="{FF2B5EF4-FFF2-40B4-BE49-F238E27FC236}">
                <a16:creationId xmlns:a16="http://schemas.microsoft.com/office/drawing/2014/main" id="{89D1BF16-6CAB-9715-A903-6E6BEC7B3C14}"/>
              </a:ext>
            </a:extLst>
          </xdr:cNvPr>
          <xdr:cNvGrpSpPr/>
        </xdr:nvGrpSpPr>
        <xdr:grpSpPr>
          <a:xfrm>
            <a:off x="832283" y="5161482"/>
            <a:ext cx="4342971" cy="214643"/>
            <a:chOff x="466117" y="5052709"/>
            <a:chExt cx="4616580" cy="232820"/>
          </a:xfrm>
        </xdr:grpSpPr>
        <xdr:cxnSp macro="">
          <xdr:nvCxnSpPr>
            <xdr:cNvPr id="28" name="Straight Arrow Connector 27">
              <a:extLst>
                <a:ext uri="{FF2B5EF4-FFF2-40B4-BE49-F238E27FC236}">
                  <a16:creationId xmlns:a16="http://schemas.microsoft.com/office/drawing/2014/main" id="{88C9C5BF-2C58-6F9D-EB87-CD141D2C8394}"/>
                </a:ext>
              </a:extLst>
            </xdr:cNvPr>
            <xdr:cNvCxnSpPr/>
          </xdr:nvCxnSpPr>
          <xdr:spPr>
            <a:xfrm>
              <a:off x="950169" y="5167319"/>
              <a:ext cx="3826593" cy="0"/>
            </a:xfrm>
            <a:prstGeom prst="straightConnector1">
              <a:avLst/>
            </a:prstGeom>
            <a:ln w="41275" cmpd="dbl">
              <a:headEnd type="diamond" w="sm" len="sm"/>
              <a:tailEnd type="stealth" w="sm" len="lg"/>
            </a:ln>
          </xdr:spPr>
          <xdr:style>
            <a:lnRef idx="2">
              <a:schemeClr val="dk1"/>
            </a:lnRef>
            <a:fillRef idx="0">
              <a:schemeClr val="dk1"/>
            </a:fillRef>
            <a:effectRef idx="1">
              <a:schemeClr val="dk1"/>
            </a:effectRef>
            <a:fontRef idx="minor">
              <a:schemeClr val="tx1"/>
            </a:fontRef>
          </xdr:style>
        </xdr:cxnSp>
        <xdr:sp macro="" textlink="">
          <xdr:nvSpPr>
            <xdr:cNvPr id="29" name="TextBox 28">
              <a:extLst>
                <a:ext uri="{FF2B5EF4-FFF2-40B4-BE49-F238E27FC236}">
                  <a16:creationId xmlns:a16="http://schemas.microsoft.com/office/drawing/2014/main" id="{40439FB1-D270-5E41-9768-2A6E13D0E5EF}"/>
                </a:ext>
              </a:extLst>
            </xdr:cNvPr>
            <xdr:cNvSpPr txBox="1"/>
          </xdr:nvSpPr>
          <xdr:spPr>
            <a:xfrm>
              <a:off x="466117" y="5052709"/>
              <a:ext cx="476660" cy="22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Sample</a:t>
              </a:r>
            </a:p>
          </xdr:txBody>
        </xdr:sp>
        <xdr:sp macro="" textlink="">
          <xdr:nvSpPr>
            <xdr:cNvPr id="30" name="TextBox 29">
              <a:extLst>
                <a:ext uri="{FF2B5EF4-FFF2-40B4-BE49-F238E27FC236}">
                  <a16:creationId xmlns:a16="http://schemas.microsoft.com/office/drawing/2014/main" id="{D96B0EF6-E92C-0B32-05FA-6AF704B87747}"/>
                </a:ext>
              </a:extLst>
            </xdr:cNvPr>
            <xdr:cNvSpPr txBox="1"/>
          </xdr:nvSpPr>
          <xdr:spPr>
            <a:xfrm>
              <a:off x="4773039" y="5052709"/>
              <a:ext cx="309658" cy="232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t">
              <a:spAutoFit/>
            </a:bodyPr>
            <a:lstStyle/>
            <a:p>
              <a:r>
                <a:rPr lang="en-US" sz="900" b="1"/>
                <a:t>GCV</a:t>
              </a:r>
            </a:p>
          </xdr:txBody>
        </xdr:sp>
      </xdr:grpSp>
      <xdr:grpSp>
        <xdr:nvGrpSpPr>
          <xdr:cNvPr id="118" name="Group 117">
            <a:extLst>
              <a:ext uri="{FF2B5EF4-FFF2-40B4-BE49-F238E27FC236}">
                <a16:creationId xmlns:a16="http://schemas.microsoft.com/office/drawing/2014/main" id="{860F0A5B-971B-09C6-30BD-2147CB0AE653}"/>
              </a:ext>
            </a:extLst>
          </xdr:cNvPr>
          <xdr:cNvGrpSpPr/>
        </xdr:nvGrpSpPr>
        <xdr:grpSpPr>
          <a:xfrm>
            <a:off x="428766" y="4244248"/>
            <a:ext cx="4105824" cy="2037539"/>
            <a:chOff x="428766" y="4244248"/>
            <a:chExt cx="4105824" cy="2037539"/>
          </a:xfrm>
        </xdr:grpSpPr>
        <xdr:grpSp>
          <xdr:nvGrpSpPr>
            <xdr:cNvPr id="31" name="Group 30">
              <a:extLst>
                <a:ext uri="{FF2B5EF4-FFF2-40B4-BE49-F238E27FC236}">
                  <a16:creationId xmlns:a16="http://schemas.microsoft.com/office/drawing/2014/main" id="{D6C1B302-B3B5-CB9E-CC74-D9361A261DE9}"/>
                </a:ext>
              </a:extLst>
            </xdr:cNvPr>
            <xdr:cNvGrpSpPr/>
          </xdr:nvGrpSpPr>
          <xdr:grpSpPr>
            <a:xfrm>
              <a:off x="2962263" y="4382156"/>
              <a:ext cx="1537388" cy="1770038"/>
              <a:chOff x="2786091" y="4255581"/>
              <a:chExt cx="1670092" cy="1950963"/>
            </a:xfrm>
          </xdr:grpSpPr>
          <xdr:grpSp>
            <xdr:nvGrpSpPr>
              <xdr:cNvPr id="66" name="Group 65">
                <a:extLst>
                  <a:ext uri="{FF2B5EF4-FFF2-40B4-BE49-F238E27FC236}">
                    <a16:creationId xmlns:a16="http://schemas.microsoft.com/office/drawing/2014/main" id="{25D84A48-2DF8-E707-1828-E4226A30335A}"/>
                  </a:ext>
                </a:extLst>
              </xdr:cNvPr>
              <xdr:cNvGrpSpPr/>
            </xdr:nvGrpSpPr>
            <xdr:grpSpPr>
              <a:xfrm>
                <a:off x="2798053" y="4255581"/>
                <a:ext cx="1658129" cy="956376"/>
                <a:chOff x="2511459" y="4309314"/>
                <a:chExt cx="1623699" cy="946649"/>
              </a:xfrm>
            </xdr:grpSpPr>
            <xdr:cxnSp macro="">
              <xdr:nvCxnSpPr>
                <xdr:cNvPr id="78" name="Straight Arrow Connector 77">
                  <a:extLst>
                    <a:ext uri="{FF2B5EF4-FFF2-40B4-BE49-F238E27FC236}">
                      <a16:creationId xmlns:a16="http://schemas.microsoft.com/office/drawing/2014/main" id="{AEDA7298-0DAD-4ECB-4631-5B4BE880F3DD}"/>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79" name="Group 78">
                  <a:extLst>
                    <a:ext uri="{FF2B5EF4-FFF2-40B4-BE49-F238E27FC236}">
                      <a16:creationId xmlns:a16="http://schemas.microsoft.com/office/drawing/2014/main" id="{30A7AA33-4F93-3B94-ABE0-107B7332A5D8}"/>
                    </a:ext>
                  </a:extLst>
                </xdr:cNvPr>
                <xdr:cNvGrpSpPr/>
              </xdr:nvGrpSpPr>
              <xdr:grpSpPr>
                <a:xfrm>
                  <a:off x="2511459" y="4373271"/>
                  <a:ext cx="1168643" cy="127286"/>
                  <a:chOff x="2582347" y="4496127"/>
                  <a:chExt cx="1188000" cy="126632"/>
                </a:xfrm>
              </xdr:grpSpPr>
              <xdr:cxnSp macro="">
                <xdr:nvCxnSpPr>
                  <xdr:cNvPr id="86" name="Straight Arrow Connector 85">
                    <a:extLst>
                      <a:ext uri="{FF2B5EF4-FFF2-40B4-BE49-F238E27FC236}">
                        <a16:creationId xmlns:a16="http://schemas.microsoft.com/office/drawing/2014/main" id="{C7062F8C-4C16-E18E-3F7A-99BDEF66B77C}"/>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7" name="TextBox 86">
                    <a:extLst>
                      <a:ext uri="{FF2B5EF4-FFF2-40B4-BE49-F238E27FC236}">
                        <a16:creationId xmlns:a16="http://schemas.microsoft.com/office/drawing/2014/main" id="{9E15D1A7-183F-5F6B-B68F-359C7AE8F161}"/>
                      </a:ext>
                    </a:extLst>
                  </xdr:cNvPr>
                  <xdr:cNvSpPr txBox="1"/>
                </xdr:nvSpPr>
                <xdr:spPr>
                  <a:xfrm>
                    <a:off x="2586400" y="4496127"/>
                    <a:ext cx="1031843" cy="126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acid/fuse wire correction</a:t>
                    </a:r>
                  </a:p>
                </xdr:txBody>
              </xdr:sp>
            </xdr:grpSp>
            <xdr:grpSp>
              <xdr:nvGrpSpPr>
                <xdr:cNvPr id="80" name="Group 79">
                  <a:extLst>
                    <a:ext uri="{FF2B5EF4-FFF2-40B4-BE49-F238E27FC236}">
                      <a16:creationId xmlns:a16="http://schemas.microsoft.com/office/drawing/2014/main" id="{5674AAFC-F696-7BFC-D849-F5E62659AFB9}"/>
                    </a:ext>
                  </a:extLst>
                </xdr:cNvPr>
                <xdr:cNvGrpSpPr/>
              </xdr:nvGrpSpPr>
              <xdr:grpSpPr>
                <a:xfrm>
                  <a:off x="2689758" y="4677535"/>
                  <a:ext cx="1169616" cy="127286"/>
                  <a:chOff x="2581358" y="4496127"/>
                  <a:chExt cx="1188989" cy="126634"/>
                </a:xfrm>
              </xdr:grpSpPr>
              <xdr:cxnSp macro="">
                <xdr:nvCxnSpPr>
                  <xdr:cNvPr id="84" name="Straight Arrow Connector 83">
                    <a:extLst>
                      <a:ext uri="{FF2B5EF4-FFF2-40B4-BE49-F238E27FC236}">
                        <a16:creationId xmlns:a16="http://schemas.microsoft.com/office/drawing/2014/main" id="{752F7700-9EF8-5DA5-7645-D8A8590CCC6E}"/>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5" name="TextBox 84">
                    <a:extLst>
                      <a:ext uri="{FF2B5EF4-FFF2-40B4-BE49-F238E27FC236}">
                        <a16:creationId xmlns:a16="http://schemas.microsoft.com/office/drawing/2014/main" id="{DC066709-3875-FC33-7035-8DE6ADFC44EB}"/>
                      </a:ext>
                    </a:extLst>
                  </xdr:cNvPr>
                  <xdr:cNvSpPr txBox="1"/>
                </xdr:nvSpPr>
                <xdr:spPr>
                  <a:xfrm>
                    <a:off x="2581358" y="4496127"/>
                    <a:ext cx="947892" cy="126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Heat loss assumptions</a:t>
                    </a:r>
                  </a:p>
                </xdr:txBody>
              </xdr:sp>
            </xdr:grpSp>
            <xdr:grpSp>
              <xdr:nvGrpSpPr>
                <xdr:cNvPr id="81" name="Group 80">
                  <a:extLst>
                    <a:ext uri="{FF2B5EF4-FFF2-40B4-BE49-F238E27FC236}">
                      <a16:creationId xmlns:a16="http://schemas.microsoft.com/office/drawing/2014/main" id="{CC5677E9-A27C-2267-1DAF-9A3B9060D8A0}"/>
                    </a:ext>
                  </a:extLst>
                </xdr:cNvPr>
                <xdr:cNvGrpSpPr/>
              </xdr:nvGrpSpPr>
              <xdr:grpSpPr>
                <a:xfrm>
                  <a:off x="2872637" y="4981869"/>
                  <a:ext cx="1169617" cy="127286"/>
                  <a:chOff x="2581357" y="4496127"/>
                  <a:chExt cx="1188990" cy="126632"/>
                </a:xfrm>
              </xdr:grpSpPr>
              <xdr:cxnSp macro="">
                <xdr:nvCxnSpPr>
                  <xdr:cNvPr id="82" name="Straight Arrow Connector 81">
                    <a:extLst>
                      <a:ext uri="{FF2B5EF4-FFF2-40B4-BE49-F238E27FC236}">
                        <a16:creationId xmlns:a16="http://schemas.microsoft.com/office/drawing/2014/main" id="{DEFC4F7C-6317-0C45-38EB-026AEEA3D3E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83" name="TextBox 82">
                    <a:extLst>
                      <a:ext uri="{FF2B5EF4-FFF2-40B4-BE49-F238E27FC236}">
                        <a16:creationId xmlns:a16="http://schemas.microsoft.com/office/drawing/2014/main" id="{521BB77C-0D1F-FEA8-50EB-64D0C0B17A5B}"/>
                      </a:ext>
                    </a:extLst>
                  </xdr:cNvPr>
                  <xdr:cNvSpPr txBox="1"/>
                </xdr:nvSpPr>
                <xdr:spPr>
                  <a:xfrm>
                    <a:off x="2581357" y="4496127"/>
                    <a:ext cx="1003928" cy="126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Equation simplifications</a:t>
                    </a:r>
                  </a:p>
                </xdr:txBody>
              </xdr:sp>
            </xdr:grpSp>
          </xdr:grpSp>
          <xdr:grpSp>
            <xdr:nvGrpSpPr>
              <xdr:cNvPr id="67" name="Group 66">
                <a:extLst>
                  <a:ext uri="{FF2B5EF4-FFF2-40B4-BE49-F238E27FC236}">
                    <a16:creationId xmlns:a16="http://schemas.microsoft.com/office/drawing/2014/main" id="{BC581B3C-BAD1-D0A2-696C-16B496127C79}"/>
                  </a:ext>
                </a:extLst>
              </xdr:cNvPr>
              <xdr:cNvGrpSpPr/>
            </xdr:nvGrpSpPr>
            <xdr:grpSpPr>
              <a:xfrm flipV="1">
                <a:off x="2786091" y="5250812"/>
                <a:ext cx="1670092" cy="955732"/>
                <a:chOff x="2499745" y="4309314"/>
                <a:chExt cx="1635413" cy="946649"/>
              </a:xfrm>
            </xdr:grpSpPr>
            <xdr:cxnSp macro="">
              <xdr:nvCxnSpPr>
                <xdr:cNvPr id="68" name="Straight Arrow Connector 67">
                  <a:extLst>
                    <a:ext uri="{FF2B5EF4-FFF2-40B4-BE49-F238E27FC236}">
                      <a16:creationId xmlns:a16="http://schemas.microsoft.com/office/drawing/2014/main" id="{35C6F14D-D5B9-E486-58E2-78D4A7B8B77F}"/>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69" name="Group 68">
                  <a:extLst>
                    <a:ext uri="{FF2B5EF4-FFF2-40B4-BE49-F238E27FC236}">
                      <a16:creationId xmlns:a16="http://schemas.microsoft.com/office/drawing/2014/main" id="{18FD60BE-0238-DF7A-F5FA-69277D56419E}"/>
                    </a:ext>
                  </a:extLst>
                </xdr:cNvPr>
                <xdr:cNvGrpSpPr/>
              </xdr:nvGrpSpPr>
              <xdr:grpSpPr>
                <a:xfrm>
                  <a:off x="2499745" y="4372092"/>
                  <a:ext cx="1180375" cy="128175"/>
                  <a:chOff x="2570428" y="4494974"/>
                  <a:chExt cx="1199919" cy="127517"/>
                </a:xfrm>
              </xdr:grpSpPr>
              <xdr:cxnSp macro="">
                <xdr:nvCxnSpPr>
                  <xdr:cNvPr id="76" name="Straight Arrow Connector 75">
                    <a:extLst>
                      <a:ext uri="{FF2B5EF4-FFF2-40B4-BE49-F238E27FC236}">
                        <a16:creationId xmlns:a16="http://schemas.microsoft.com/office/drawing/2014/main" id="{28E891FE-2F8C-BF0C-1746-DB78736E0BF3}"/>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7" name="TextBox 76">
                    <a:extLst>
                      <a:ext uri="{FF2B5EF4-FFF2-40B4-BE49-F238E27FC236}">
                        <a16:creationId xmlns:a16="http://schemas.microsoft.com/office/drawing/2014/main" id="{605351B6-5B8D-CF5B-C523-147D0C96CE03}"/>
                      </a:ext>
                    </a:extLst>
                  </xdr:cNvPr>
                  <xdr:cNvSpPr txBox="1"/>
                </xdr:nvSpPr>
                <xdr:spPr>
                  <a:xfrm rot="10800000">
                    <a:off x="2570428" y="4494974"/>
                    <a:ext cx="1070648" cy="127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Calorimeter heat capacity</a:t>
                    </a:r>
                  </a:p>
                </xdr:txBody>
              </xdr:sp>
            </xdr:grpSp>
            <xdr:grpSp>
              <xdr:nvGrpSpPr>
                <xdr:cNvPr id="70" name="Group 69">
                  <a:extLst>
                    <a:ext uri="{FF2B5EF4-FFF2-40B4-BE49-F238E27FC236}">
                      <a16:creationId xmlns:a16="http://schemas.microsoft.com/office/drawing/2014/main" id="{00C3CBDD-E517-4378-BC67-AE2C914188EE}"/>
                    </a:ext>
                  </a:extLst>
                </xdr:cNvPr>
                <xdr:cNvGrpSpPr/>
              </xdr:nvGrpSpPr>
              <xdr:grpSpPr>
                <a:xfrm>
                  <a:off x="2686391" y="4676401"/>
                  <a:ext cx="1172993" cy="128175"/>
                  <a:chOff x="2577930" y="4494983"/>
                  <a:chExt cx="1192417" cy="127518"/>
                </a:xfrm>
              </xdr:grpSpPr>
              <xdr:cxnSp macro="">
                <xdr:nvCxnSpPr>
                  <xdr:cNvPr id="74" name="Straight Arrow Connector 73">
                    <a:extLst>
                      <a:ext uri="{FF2B5EF4-FFF2-40B4-BE49-F238E27FC236}">
                        <a16:creationId xmlns:a16="http://schemas.microsoft.com/office/drawing/2014/main" id="{28A378FF-44C6-CF4E-CD88-4D18F6119FBC}"/>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5" name="TextBox 74">
                    <a:extLst>
                      <a:ext uri="{FF2B5EF4-FFF2-40B4-BE49-F238E27FC236}">
                        <a16:creationId xmlns:a16="http://schemas.microsoft.com/office/drawing/2014/main" id="{5036B1E9-2CD3-BB42-EDD0-EE466241BC3E}"/>
                      </a:ext>
                    </a:extLst>
                  </xdr:cNvPr>
                  <xdr:cNvSpPr txBox="1"/>
                </xdr:nvSpPr>
                <xdr:spPr>
                  <a:xfrm rot="10800000">
                    <a:off x="2577930" y="4494983"/>
                    <a:ext cx="1024470" cy="127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Thermometer</a:t>
                    </a:r>
                    <a:r>
                      <a:rPr lang="en-US" sz="750" baseline="0"/>
                      <a:t> c</a:t>
                    </a:r>
                    <a:r>
                      <a:rPr lang="en-US" sz="750"/>
                      <a:t>alibration</a:t>
                    </a:r>
                  </a:p>
                </xdr:txBody>
              </xdr:sp>
            </xdr:grpSp>
            <xdr:grpSp>
              <xdr:nvGrpSpPr>
                <xdr:cNvPr id="71" name="Group 70">
                  <a:extLst>
                    <a:ext uri="{FF2B5EF4-FFF2-40B4-BE49-F238E27FC236}">
                      <a16:creationId xmlns:a16="http://schemas.microsoft.com/office/drawing/2014/main" id="{BA51CEA6-0FE7-7F7A-B121-37A45680DD0E}"/>
                    </a:ext>
                  </a:extLst>
                </xdr:cNvPr>
                <xdr:cNvGrpSpPr/>
              </xdr:nvGrpSpPr>
              <xdr:grpSpPr>
                <a:xfrm>
                  <a:off x="2869393" y="4981018"/>
                  <a:ext cx="1172876" cy="128175"/>
                  <a:chOff x="2578049" y="4495265"/>
                  <a:chExt cx="1192298" cy="127516"/>
                </a:xfrm>
              </xdr:grpSpPr>
              <xdr:cxnSp macro="">
                <xdr:nvCxnSpPr>
                  <xdr:cNvPr id="72" name="Straight Arrow Connector 71">
                    <a:extLst>
                      <a:ext uri="{FF2B5EF4-FFF2-40B4-BE49-F238E27FC236}">
                        <a16:creationId xmlns:a16="http://schemas.microsoft.com/office/drawing/2014/main" id="{2320D6E7-6C6A-A31A-B207-63B20F9A04B9}"/>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73" name="TextBox 72">
                    <a:extLst>
                      <a:ext uri="{FF2B5EF4-FFF2-40B4-BE49-F238E27FC236}">
                        <a16:creationId xmlns:a16="http://schemas.microsoft.com/office/drawing/2014/main" id="{EE4EC151-E5BA-60D6-7D7E-299B268E4619}"/>
                      </a:ext>
                    </a:extLst>
                  </xdr:cNvPr>
                  <xdr:cNvSpPr txBox="1"/>
                </xdr:nvSpPr>
                <xdr:spPr>
                  <a:xfrm rot="10800000">
                    <a:off x="2578049" y="4495265"/>
                    <a:ext cx="801341" cy="127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pPr algn="l"/>
                    <a:r>
                      <a:rPr lang="en-US" sz="750"/>
                      <a:t>Balance calibration</a:t>
                    </a:r>
                  </a:p>
                </xdr:txBody>
              </xdr:sp>
            </xdr:grpSp>
          </xdr:grpSp>
        </xdr:grpSp>
        <xdr:grpSp>
          <xdr:nvGrpSpPr>
            <xdr:cNvPr id="32" name="Group 31">
              <a:extLst>
                <a:ext uri="{FF2B5EF4-FFF2-40B4-BE49-F238E27FC236}">
                  <a16:creationId xmlns:a16="http://schemas.microsoft.com/office/drawing/2014/main" id="{16567DE4-7421-8F6C-794E-D5D403A008E9}"/>
                </a:ext>
              </a:extLst>
            </xdr:cNvPr>
            <xdr:cNvGrpSpPr/>
          </xdr:nvGrpSpPr>
          <xdr:grpSpPr>
            <a:xfrm>
              <a:off x="1700375" y="4382156"/>
              <a:ext cx="1527287" cy="1770038"/>
              <a:chOff x="2797060" y="4255581"/>
              <a:chExt cx="1659148" cy="1950963"/>
            </a:xfrm>
          </xdr:grpSpPr>
          <xdr:grpSp>
            <xdr:nvGrpSpPr>
              <xdr:cNvPr id="44" name="Group 43">
                <a:extLst>
                  <a:ext uri="{FF2B5EF4-FFF2-40B4-BE49-F238E27FC236}">
                    <a16:creationId xmlns:a16="http://schemas.microsoft.com/office/drawing/2014/main" id="{DF022872-21B1-956C-D40D-4A62B2E55F49}"/>
                  </a:ext>
                </a:extLst>
              </xdr:cNvPr>
              <xdr:cNvGrpSpPr/>
            </xdr:nvGrpSpPr>
            <xdr:grpSpPr>
              <a:xfrm>
                <a:off x="2797060" y="4255581"/>
                <a:ext cx="1659123" cy="956376"/>
                <a:chOff x="2510486" y="4309314"/>
                <a:chExt cx="1624672" cy="946649"/>
              </a:xfrm>
            </xdr:grpSpPr>
            <xdr:cxnSp macro="">
              <xdr:nvCxnSpPr>
                <xdr:cNvPr id="56" name="Straight Arrow Connector 55">
                  <a:extLst>
                    <a:ext uri="{FF2B5EF4-FFF2-40B4-BE49-F238E27FC236}">
                      <a16:creationId xmlns:a16="http://schemas.microsoft.com/office/drawing/2014/main" id="{7F0D1751-7849-8D2C-EBC1-6157EA08262E}"/>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57" name="Group 56">
                  <a:extLst>
                    <a:ext uri="{FF2B5EF4-FFF2-40B4-BE49-F238E27FC236}">
                      <a16:creationId xmlns:a16="http://schemas.microsoft.com/office/drawing/2014/main" id="{95F87BCA-3EF1-9319-8BF9-61CBA445612A}"/>
                    </a:ext>
                  </a:extLst>
                </xdr:cNvPr>
                <xdr:cNvGrpSpPr/>
              </xdr:nvGrpSpPr>
              <xdr:grpSpPr>
                <a:xfrm>
                  <a:off x="2510486" y="4373275"/>
                  <a:ext cx="1169616" cy="129210"/>
                  <a:chOff x="2581358" y="4496127"/>
                  <a:chExt cx="1188989" cy="128546"/>
                </a:xfrm>
              </xdr:grpSpPr>
              <xdr:cxnSp macro="">
                <xdr:nvCxnSpPr>
                  <xdr:cNvPr id="64" name="Straight Arrow Connector 63">
                    <a:extLst>
                      <a:ext uri="{FF2B5EF4-FFF2-40B4-BE49-F238E27FC236}">
                        <a16:creationId xmlns:a16="http://schemas.microsoft.com/office/drawing/2014/main" id="{7A30AEE5-6517-D852-9A8B-907D6E846964}"/>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5" name="TextBox 64">
                    <a:extLst>
                      <a:ext uri="{FF2B5EF4-FFF2-40B4-BE49-F238E27FC236}">
                        <a16:creationId xmlns:a16="http://schemas.microsoft.com/office/drawing/2014/main" id="{37A18F29-D4EA-BB9E-2444-A57E2BB062A8}"/>
                      </a:ext>
                    </a:extLst>
                  </xdr:cNvPr>
                  <xdr:cNvSpPr txBox="1"/>
                </xdr:nvSpPr>
                <xdr:spPr>
                  <a:xfrm>
                    <a:off x="2581358" y="4496127"/>
                    <a:ext cx="660172" cy="128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Humidity in Lab</a:t>
                    </a:r>
                  </a:p>
                </xdr:txBody>
              </xdr:sp>
            </xdr:grpSp>
            <xdr:grpSp>
              <xdr:nvGrpSpPr>
                <xdr:cNvPr id="58" name="Group 57">
                  <a:extLst>
                    <a:ext uri="{FF2B5EF4-FFF2-40B4-BE49-F238E27FC236}">
                      <a16:creationId xmlns:a16="http://schemas.microsoft.com/office/drawing/2014/main" id="{B7A3CB8F-2351-523C-32AF-4E642382EB83}"/>
                    </a:ext>
                  </a:extLst>
                </xdr:cNvPr>
                <xdr:cNvGrpSpPr/>
              </xdr:nvGrpSpPr>
              <xdr:grpSpPr>
                <a:xfrm>
                  <a:off x="2689758" y="4677535"/>
                  <a:ext cx="1169616" cy="127286"/>
                  <a:chOff x="2581358" y="4496127"/>
                  <a:chExt cx="1188989" cy="126634"/>
                </a:xfrm>
              </xdr:grpSpPr>
              <xdr:cxnSp macro="">
                <xdr:nvCxnSpPr>
                  <xdr:cNvPr id="62" name="Straight Arrow Connector 61">
                    <a:extLst>
                      <a:ext uri="{FF2B5EF4-FFF2-40B4-BE49-F238E27FC236}">
                        <a16:creationId xmlns:a16="http://schemas.microsoft.com/office/drawing/2014/main" id="{4DB3CD43-F778-C21D-D2DA-03DFD077FACB}"/>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63" name="TextBox 62">
                    <a:extLst>
                      <a:ext uri="{FF2B5EF4-FFF2-40B4-BE49-F238E27FC236}">
                        <a16:creationId xmlns:a16="http://schemas.microsoft.com/office/drawing/2014/main" id="{66A30CB7-7360-1800-2311-B5DBB3720DF9}"/>
                      </a:ext>
                    </a:extLst>
                  </xdr:cNvPr>
                  <xdr:cNvSpPr txBox="1"/>
                </xdr:nvSpPr>
                <xdr:spPr>
                  <a:xfrm>
                    <a:off x="2581358" y="4496127"/>
                    <a:ext cx="981458" cy="126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Room temp. fluctuation</a:t>
                    </a:r>
                  </a:p>
                </xdr:txBody>
              </xdr:sp>
            </xdr:grpSp>
          </xdr:grpSp>
          <xdr:grpSp>
            <xdr:nvGrpSpPr>
              <xdr:cNvPr id="45" name="Group 44">
                <a:extLst>
                  <a:ext uri="{FF2B5EF4-FFF2-40B4-BE49-F238E27FC236}">
                    <a16:creationId xmlns:a16="http://schemas.microsoft.com/office/drawing/2014/main" id="{B2F646E3-8E82-FC8F-C774-C52ABDBFD0C4}"/>
                  </a:ext>
                </a:extLst>
              </xdr:cNvPr>
              <xdr:cNvGrpSpPr/>
            </xdr:nvGrpSpPr>
            <xdr:grpSpPr>
              <a:xfrm flipV="1">
                <a:off x="2797095" y="5250812"/>
                <a:ext cx="1659113" cy="955732"/>
                <a:chOff x="2510503" y="4309314"/>
                <a:chExt cx="1624655" cy="946649"/>
              </a:xfrm>
            </xdr:grpSpPr>
            <xdr:cxnSp macro="">
              <xdr:nvCxnSpPr>
                <xdr:cNvPr id="46" name="Straight Arrow Connector 45">
                  <a:extLst>
                    <a:ext uri="{FF2B5EF4-FFF2-40B4-BE49-F238E27FC236}">
                      <a16:creationId xmlns:a16="http://schemas.microsoft.com/office/drawing/2014/main" id="{1D09F5A6-AB59-02D4-881C-705196F491DA}"/>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47" name="Group 46">
                  <a:extLst>
                    <a:ext uri="{FF2B5EF4-FFF2-40B4-BE49-F238E27FC236}">
                      <a16:creationId xmlns:a16="http://schemas.microsoft.com/office/drawing/2014/main" id="{11B5C798-3BB8-5D24-25E6-2FA6F76BEAA0}"/>
                    </a:ext>
                  </a:extLst>
                </xdr:cNvPr>
                <xdr:cNvGrpSpPr/>
              </xdr:nvGrpSpPr>
              <xdr:grpSpPr>
                <a:xfrm>
                  <a:off x="2510503" y="4372136"/>
                  <a:ext cx="1169615" cy="128175"/>
                  <a:chOff x="2581364" y="4494983"/>
                  <a:chExt cx="1188983" cy="127516"/>
                </a:xfrm>
              </xdr:grpSpPr>
              <xdr:cxnSp macro="">
                <xdr:nvCxnSpPr>
                  <xdr:cNvPr id="54" name="Straight Arrow Connector 53">
                    <a:extLst>
                      <a:ext uri="{FF2B5EF4-FFF2-40B4-BE49-F238E27FC236}">
                        <a16:creationId xmlns:a16="http://schemas.microsoft.com/office/drawing/2014/main" id="{CB6C6635-8B12-AF04-4E96-A6B8C9ED696F}"/>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5" name="TextBox 54">
                    <a:extLst>
                      <a:ext uri="{FF2B5EF4-FFF2-40B4-BE49-F238E27FC236}">
                        <a16:creationId xmlns:a16="http://schemas.microsoft.com/office/drawing/2014/main" id="{15D3D1CD-8FF9-2CCE-BD0E-1229E4FD6B8D}"/>
                      </a:ext>
                    </a:extLst>
                  </xdr:cNvPr>
                  <xdr:cNvSpPr txBox="1"/>
                </xdr:nvSpPr>
                <xdr:spPr>
                  <a:xfrm rot="10800000">
                    <a:off x="2581364" y="4494983"/>
                    <a:ext cx="1081616" cy="127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Moisture content variation</a:t>
                    </a:r>
                  </a:p>
                </xdr:txBody>
              </xdr:sp>
            </xdr:grpSp>
            <xdr:grpSp>
              <xdr:nvGrpSpPr>
                <xdr:cNvPr id="48" name="Group 47">
                  <a:extLst>
                    <a:ext uri="{FF2B5EF4-FFF2-40B4-BE49-F238E27FC236}">
                      <a16:creationId xmlns:a16="http://schemas.microsoft.com/office/drawing/2014/main" id="{87772FC0-B67B-0EB9-BF64-91641E7CE348}"/>
                    </a:ext>
                  </a:extLst>
                </xdr:cNvPr>
                <xdr:cNvGrpSpPr/>
              </xdr:nvGrpSpPr>
              <xdr:grpSpPr>
                <a:xfrm>
                  <a:off x="2690740" y="4675850"/>
                  <a:ext cx="1168646" cy="129297"/>
                  <a:chOff x="2582347" y="4494426"/>
                  <a:chExt cx="1188000" cy="128634"/>
                </a:xfrm>
              </xdr:grpSpPr>
              <xdr:cxnSp macro="">
                <xdr:nvCxnSpPr>
                  <xdr:cNvPr id="52" name="Straight Arrow Connector 51">
                    <a:extLst>
                      <a:ext uri="{FF2B5EF4-FFF2-40B4-BE49-F238E27FC236}">
                        <a16:creationId xmlns:a16="http://schemas.microsoft.com/office/drawing/2014/main" id="{AE244A06-8616-6AF1-FA81-0D153EE5249A}"/>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3" name="TextBox 52">
                    <a:extLst>
                      <a:ext uri="{FF2B5EF4-FFF2-40B4-BE49-F238E27FC236}">
                        <a16:creationId xmlns:a16="http://schemas.microsoft.com/office/drawing/2014/main" id="{272C7A21-4F4B-0501-86A4-2CE997A40F11}"/>
                      </a:ext>
                    </a:extLst>
                  </xdr:cNvPr>
                  <xdr:cNvSpPr txBox="1"/>
                </xdr:nvSpPr>
                <xdr:spPr>
                  <a:xfrm rot="10800000">
                    <a:off x="2603375" y="4494426"/>
                    <a:ext cx="793431" cy="128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Sample Prep. error</a:t>
                    </a:r>
                  </a:p>
                </xdr:txBody>
              </xdr:sp>
            </xdr:grpSp>
            <xdr:grpSp>
              <xdr:nvGrpSpPr>
                <xdr:cNvPr id="49" name="Group 48">
                  <a:extLst>
                    <a:ext uri="{FF2B5EF4-FFF2-40B4-BE49-F238E27FC236}">
                      <a16:creationId xmlns:a16="http://schemas.microsoft.com/office/drawing/2014/main" id="{A5583BA5-E4E7-9876-1E77-7A6A878A03E7}"/>
                    </a:ext>
                  </a:extLst>
                </xdr:cNvPr>
                <xdr:cNvGrpSpPr/>
              </xdr:nvGrpSpPr>
              <xdr:grpSpPr>
                <a:xfrm>
                  <a:off x="2873627" y="4980504"/>
                  <a:ext cx="1168650" cy="129297"/>
                  <a:chOff x="2582347" y="4494747"/>
                  <a:chExt cx="1188000" cy="128632"/>
                </a:xfrm>
              </xdr:grpSpPr>
              <xdr:cxnSp macro="">
                <xdr:nvCxnSpPr>
                  <xdr:cNvPr id="50" name="Straight Arrow Connector 49">
                    <a:extLst>
                      <a:ext uri="{FF2B5EF4-FFF2-40B4-BE49-F238E27FC236}">
                        <a16:creationId xmlns:a16="http://schemas.microsoft.com/office/drawing/2014/main" id="{359E9D57-50A3-221F-15B1-357E143C060A}"/>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51" name="TextBox 50">
                    <a:extLst>
                      <a:ext uri="{FF2B5EF4-FFF2-40B4-BE49-F238E27FC236}">
                        <a16:creationId xmlns:a16="http://schemas.microsoft.com/office/drawing/2014/main" id="{E2AFCFC1-7C00-FC49-B9EC-BB8D66E405C6}"/>
                      </a:ext>
                    </a:extLst>
                  </xdr:cNvPr>
                  <xdr:cNvSpPr txBox="1"/>
                </xdr:nvSpPr>
                <xdr:spPr>
                  <a:xfrm rot="10800000">
                    <a:off x="2591430" y="4494747"/>
                    <a:ext cx="802194" cy="128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r>
                      <a:rPr lang="en-US" sz="750"/>
                      <a:t>Coal heterogeneity</a:t>
                    </a:r>
                  </a:p>
                </xdr:txBody>
              </xdr:sp>
            </xdr:grpSp>
          </xdr:grpSp>
        </xdr:grpSp>
        <xdr:grpSp>
          <xdr:nvGrpSpPr>
            <xdr:cNvPr id="19" name="Group 18">
              <a:extLst>
                <a:ext uri="{FF2B5EF4-FFF2-40B4-BE49-F238E27FC236}">
                  <a16:creationId xmlns:a16="http://schemas.microsoft.com/office/drawing/2014/main" id="{9265D4DE-DCF7-AF34-8A44-6F4501DFB0A6}"/>
                </a:ext>
              </a:extLst>
            </xdr:cNvPr>
            <xdr:cNvGrpSpPr/>
          </xdr:nvGrpSpPr>
          <xdr:grpSpPr>
            <a:xfrm>
              <a:off x="863382" y="4244248"/>
              <a:ext cx="3671208" cy="129452"/>
              <a:chOff x="1643113" y="4493795"/>
              <a:chExt cx="3900098" cy="140872"/>
            </a:xfrm>
          </xdr:grpSpPr>
          <xdr:sp macro="" textlink="">
            <xdr:nvSpPr>
              <xdr:cNvPr id="23" name="TextBox 22">
                <a:extLst>
                  <a:ext uri="{FF2B5EF4-FFF2-40B4-BE49-F238E27FC236}">
                    <a16:creationId xmlns:a16="http://schemas.microsoft.com/office/drawing/2014/main" id="{20F28FBB-0EE7-204F-2A0E-DB24B785B29E}"/>
                  </a:ext>
                </a:extLst>
              </xdr:cNvPr>
              <xdr:cNvSpPr txBox="1"/>
            </xdr:nvSpPr>
            <xdr:spPr>
              <a:xfrm>
                <a:off x="16431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Human (Operator) Error</a:t>
                </a:r>
              </a:p>
            </xdr:txBody>
          </xdr:sp>
          <xdr:sp macro="" textlink="">
            <xdr:nvSpPr>
              <xdr:cNvPr id="24" name="TextBox 23">
                <a:extLst>
                  <a:ext uri="{FF2B5EF4-FFF2-40B4-BE49-F238E27FC236}">
                    <a16:creationId xmlns:a16="http://schemas.microsoft.com/office/drawing/2014/main" id="{B53DED17-BB54-0EF5-0A1F-D4CEA6DE5BEA}"/>
                  </a:ext>
                </a:extLst>
              </xdr:cNvPr>
              <xdr:cNvSpPr txBox="1"/>
            </xdr:nvSpPr>
            <xdr:spPr>
              <a:xfrm>
                <a:off x="299566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Environment</a:t>
                </a:r>
              </a:p>
            </xdr:txBody>
          </xdr:sp>
          <xdr:sp macro="" textlink="">
            <xdr:nvSpPr>
              <xdr:cNvPr id="25" name="TextBox 24">
                <a:extLst>
                  <a:ext uri="{FF2B5EF4-FFF2-40B4-BE49-F238E27FC236}">
                    <a16:creationId xmlns:a16="http://schemas.microsoft.com/office/drawing/2014/main" id="{B5ADD345-2064-892C-0660-BA649FF2502D}"/>
                  </a:ext>
                </a:extLst>
              </xdr:cNvPr>
              <xdr:cNvSpPr txBox="1"/>
            </xdr:nvSpPr>
            <xdr:spPr>
              <a:xfrm>
                <a:off x="4348213" y="4493795"/>
                <a:ext cx="119499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Methods</a:t>
                </a:r>
              </a:p>
            </xdr:txBody>
          </xdr:sp>
        </xdr:grpSp>
        <xdr:grpSp>
          <xdr:nvGrpSpPr>
            <xdr:cNvPr id="90" name="Group 89">
              <a:extLst>
                <a:ext uri="{FF2B5EF4-FFF2-40B4-BE49-F238E27FC236}">
                  <a16:creationId xmlns:a16="http://schemas.microsoft.com/office/drawing/2014/main" id="{99986C1B-9D68-480F-A409-8837E226CBF6}"/>
                </a:ext>
              </a:extLst>
            </xdr:cNvPr>
            <xdr:cNvGrpSpPr/>
          </xdr:nvGrpSpPr>
          <xdr:grpSpPr>
            <a:xfrm>
              <a:off x="428766" y="4382747"/>
              <a:ext cx="1527280" cy="1770038"/>
              <a:chOff x="2797060" y="4255581"/>
              <a:chExt cx="1659143" cy="1950963"/>
            </a:xfrm>
          </xdr:grpSpPr>
          <xdr:grpSp>
            <xdr:nvGrpSpPr>
              <xdr:cNvPr id="91" name="Group 90">
                <a:extLst>
                  <a:ext uri="{FF2B5EF4-FFF2-40B4-BE49-F238E27FC236}">
                    <a16:creationId xmlns:a16="http://schemas.microsoft.com/office/drawing/2014/main" id="{1A1F8305-0FA3-CAD4-4182-C825C6DBC45C}"/>
                  </a:ext>
                </a:extLst>
              </xdr:cNvPr>
              <xdr:cNvGrpSpPr/>
            </xdr:nvGrpSpPr>
            <xdr:grpSpPr>
              <a:xfrm>
                <a:off x="2797060" y="4255581"/>
                <a:ext cx="1659123" cy="956376"/>
                <a:chOff x="2510486" y="4309314"/>
                <a:chExt cx="1624672" cy="946649"/>
              </a:xfrm>
            </xdr:grpSpPr>
            <xdr:cxnSp macro="">
              <xdr:nvCxnSpPr>
                <xdr:cNvPr id="103" name="Straight Arrow Connector 102">
                  <a:extLst>
                    <a:ext uri="{FF2B5EF4-FFF2-40B4-BE49-F238E27FC236}">
                      <a16:creationId xmlns:a16="http://schemas.microsoft.com/office/drawing/2014/main" id="{2892090C-F2F0-6246-71B9-72D9970CBB77}"/>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104" name="Group 103">
                  <a:extLst>
                    <a:ext uri="{FF2B5EF4-FFF2-40B4-BE49-F238E27FC236}">
                      <a16:creationId xmlns:a16="http://schemas.microsoft.com/office/drawing/2014/main" id="{D662CAE3-43D8-AEC9-2C58-E9D360154995}"/>
                    </a:ext>
                  </a:extLst>
                </xdr:cNvPr>
                <xdr:cNvGrpSpPr/>
              </xdr:nvGrpSpPr>
              <xdr:grpSpPr>
                <a:xfrm>
                  <a:off x="2510486" y="4373271"/>
                  <a:ext cx="1169616" cy="127286"/>
                  <a:chOff x="2581358" y="4496127"/>
                  <a:chExt cx="1188989" cy="126632"/>
                </a:xfrm>
              </xdr:grpSpPr>
              <xdr:cxnSp macro="">
                <xdr:nvCxnSpPr>
                  <xdr:cNvPr id="111" name="Straight Arrow Connector 110">
                    <a:extLst>
                      <a:ext uri="{FF2B5EF4-FFF2-40B4-BE49-F238E27FC236}">
                        <a16:creationId xmlns:a16="http://schemas.microsoft.com/office/drawing/2014/main" id="{B3C8521C-AC8F-A3C9-71E1-C8D50762F5DC}"/>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112" name="TextBox 111">
                    <a:extLst>
                      <a:ext uri="{FF2B5EF4-FFF2-40B4-BE49-F238E27FC236}">
                        <a16:creationId xmlns:a16="http://schemas.microsoft.com/office/drawing/2014/main" id="{25E4A46B-3AD5-4F9D-9FC6-58DFA8D69D46}"/>
                      </a:ext>
                    </a:extLst>
                  </xdr:cNvPr>
                  <xdr:cNvSpPr txBox="1"/>
                </xdr:nvSpPr>
                <xdr:spPr>
                  <a:xfrm>
                    <a:off x="2581358" y="4496127"/>
                    <a:ext cx="648156" cy="126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Weighing errors</a:t>
                    </a:r>
                  </a:p>
                </xdr:txBody>
              </xdr:sp>
            </xdr:grpSp>
            <xdr:grpSp>
              <xdr:nvGrpSpPr>
                <xdr:cNvPr id="105" name="Group 104">
                  <a:extLst>
                    <a:ext uri="{FF2B5EF4-FFF2-40B4-BE49-F238E27FC236}">
                      <a16:creationId xmlns:a16="http://schemas.microsoft.com/office/drawing/2014/main" id="{76F126C4-0988-C120-E065-15195B69A89D}"/>
                    </a:ext>
                  </a:extLst>
                </xdr:cNvPr>
                <xdr:cNvGrpSpPr/>
              </xdr:nvGrpSpPr>
              <xdr:grpSpPr>
                <a:xfrm>
                  <a:off x="2689758" y="4677535"/>
                  <a:ext cx="1169616" cy="127286"/>
                  <a:chOff x="2581358" y="4496127"/>
                  <a:chExt cx="1188989" cy="126634"/>
                </a:xfrm>
              </xdr:grpSpPr>
              <xdr:cxnSp macro="">
                <xdr:nvCxnSpPr>
                  <xdr:cNvPr id="109" name="Straight Arrow Connector 108">
                    <a:extLst>
                      <a:ext uri="{FF2B5EF4-FFF2-40B4-BE49-F238E27FC236}">
                        <a16:creationId xmlns:a16="http://schemas.microsoft.com/office/drawing/2014/main" id="{0CFB67B4-F2CA-65DB-9241-B44C8BFC0D5B}"/>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110" name="TextBox 109">
                    <a:extLst>
                      <a:ext uri="{FF2B5EF4-FFF2-40B4-BE49-F238E27FC236}">
                        <a16:creationId xmlns:a16="http://schemas.microsoft.com/office/drawing/2014/main" id="{3B2D36E0-2AEA-1CBA-F655-88B757A0DCF6}"/>
                      </a:ext>
                    </a:extLst>
                  </xdr:cNvPr>
                  <xdr:cNvSpPr txBox="1"/>
                </xdr:nvSpPr>
                <xdr:spPr>
                  <a:xfrm>
                    <a:off x="2581358" y="4496127"/>
                    <a:ext cx="925698" cy="126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Misreading temp. data</a:t>
                    </a:r>
                  </a:p>
                </xdr:txBody>
              </xdr:sp>
            </xdr:grpSp>
            <xdr:grpSp>
              <xdr:nvGrpSpPr>
                <xdr:cNvPr id="106" name="Group 105">
                  <a:extLst>
                    <a:ext uri="{FF2B5EF4-FFF2-40B4-BE49-F238E27FC236}">
                      <a16:creationId xmlns:a16="http://schemas.microsoft.com/office/drawing/2014/main" id="{8530A54E-DFD7-3F0F-E486-41FC7B7622EA}"/>
                    </a:ext>
                  </a:extLst>
                </xdr:cNvPr>
                <xdr:cNvGrpSpPr/>
              </xdr:nvGrpSpPr>
              <xdr:grpSpPr>
                <a:xfrm>
                  <a:off x="2872638" y="4981869"/>
                  <a:ext cx="1169616" cy="127286"/>
                  <a:chOff x="2581358" y="4496127"/>
                  <a:chExt cx="1188989" cy="126632"/>
                </a:xfrm>
              </xdr:grpSpPr>
              <xdr:cxnSp macro="">
                <xdr:nvCxnSpPr>
                  <xdr:cNvPr id="107" name="Straight Arrow Connector 106">
                    <a:extLst>
                      <a:ext uri="{FF2B5EF4-FFF2-40B4-BE49-F238E27FC236}">
                        <a16:creationId xmlns:a16="http://schemas.microsoft.com/office/drawing/2014/main" id="{1B7442A8-D55F-E6D5-EB4C-858AA0A14183}"/>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108" name="TextBox 107">
                    <a:extLst>
                      <a:ext uri="{FF2B5EF4-FFF2-40B4-BE49-F238E27FC236}">
                        <a16:creationId xmlns:a16="http://schemas.microsoft.com/office/drawing/2014/main" id="{751CA928-5682-B638-4F8A-C1831F58E358}"/>
                      </a:ext>
                    </a:extLst>
                  </xdr:cNvPr>
                  <xdr:cNvSpPr txBox="1"/>
                </xdr:nvSpPr>
                <xdr:spPr>
                  <a:xfrm>
                    <a:off x="2581358" y="4496127"/>
                    <a:ext cx="991551" cy="126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Incomplete combustion</a:t>
                    </a:r>
                  </a:p>
                </xdr:txBody>
              </xdr:sp>
            </xdr:grpSp>
          </xdr:grpSp>
          <xdr:grpSp>
            <xdr:nvGrpSpPr>
              <xdr:cNvPr id="92" name="Group 91">
                <a:extLst>
                  <a:ext uri="{FF2B5EF4-FFF2-40B4-BE49-F238E27FC236}">
                    <a16:creationId xmlns:a16="http://schemas.microsoft.com/office/drawing/2014/main" id="{8EAC7781-0A87-2B8B-C41E-06CF276C63D6}"/>
                  </a:ext>
                </a:extLst>
              </xdr:cNvPr>
              <xdr:cNvGrpSpPr/>
            </xdr:nvGrpSpPr>
            <xdr:grpSpPr>
              <a:xfrm flipV="1">
                <a:off x="2798080" y="5250812"/>
                <a:ext cx="1658123" cy="955732"/>
                <a:chOff x="2511471" y="4309314"/>
                <a:chExt cx="1623687" cy="946649"/>
              </a:xfrm>
            </xdr:grpSpPr>
            <xdr:cxnSp macro="">
              <xdr:nvCxnSpPr>
                <xdr:cNvPr id="93" name="Straight Arrow Connector 92">
                  <a:extLst>
                    <a:ext uri="{FF2B5EF4-FFF2-40B4-BE49-F238E27FC236}">
                      <a16:creationId xmlns:a16="http://schemas.microsoft.com/office/drawing/2014/main" id="{F1CA953C-FD9E-FBC3-57E0-029198A4CAB0}"/>
                    </a:ext>
                  </a:extLst>
                </xdr:cNvPr>
                <xdr:cNvCxnSpPr/>
              </xdr:nvCxnSpPr>
              <xdr:spPr>
                <a:xfrm>
                  <a:off x="3570900" y="4309314"/>
                  <a:ext cx="564258" cy="946649"/>
                </a:xfrm>
                <a:prstGeom prst="straightConnector1">
                  <a:avLst/>
                </a:prstGeom>
                <a:ln w="12700">
                  <a:solidFill>
                    <a:schemeClr val="bg2">
                      <a:lumMod val="50000"/>
                    </a:schemeClr>
                  </a:solidFill>
                  <a:tailEnd type="triangle"/>
                </a:ln>
              </xdr:spPr>
              <xdr:style>
                <a:lnRef idx="2">
                  <a:schemeClr val="dk1"/>
                </a:lnRef>
                <a:fillRef idx="0">
                  <a:schemeClr val="dk1"/>
                </a:fillRef>
                <a:effectRef idx="1">
                  <a:schemeClr val="dk1"/>
                </a:effectRef>
                <a:fontRef idx="minor">
                  <a:schemeClr val="tx1"/>
                </a:fontRef>
              </xdr:style>
            </xdr:cxnSp>
            <xdr:grpSp>
              <xdr:nvGrpSpPr>
                <xdr:cNvPr id="94" name="Group 93">
                  <a:extLst>
                    <a:ext uri="{FF2B5EF4-FFF2-40B4-BE49-F238E27FC236}">
                      <a16:creationId xmlns:a16="http://schemas.microsoft.com/office/drawing/2014/main" id="{9A902AD1-D653-221B-F291-F286973E383D}"/>
                    </a:ext>
                  </a:extLst>
                </xdr:cNvPr>
                <xdr:cNvGrpSpPr/>
              </xdr:nvGrpSpPr>
              <xdr:grpSpPr>
                <a:xfrm>
                  <a:off x="2511471" y="4372136"/>
                  <a:ext cx="1168648" cy="128175"/>
                  <a:chOff x="2582347" y="4494983"/>
                  <a:chExt cx="1188000" cy="127516"/>
                </a:xfrm>
              </xdr:grpSpPr>
              <xdr:cxnSp macro="">
                <xdr:nvCxnSpPr>
                  <xdr:cNvPr id="101" name="Straight Arrow Connector 100">
                    <a:extLst>
                      <a:ext uri="{FF2B5EF4-FFF2-40B4-BE49-F238E27FC236}">
                        <a16:creationId xmlns:a16="http://schemas.microsoft.com/office/drawing/2014/main" id="{388F1615-38F2-63E3-EA4A-44699E7DE4A0}"/>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102" name="TextBox 101">
                    <a:extLst>
                      <a:ext uri="{FF2B5EF4-FFF2-40B4-BE49-F238E27FC236}">
                        <a16:creationId xmlns:a16="http://schemas.microsoft.com/office/drawing/2014/main" id="{6CEE258D-DFBD-8E71-81BD-BDBD0A819035}"/>
                      </a:ext>
                    </a:extLst>
                  </xdr:cNvPr>
                  <xdr:cNvSpPr txBox="1"/>
                </xdr:nvSpPr>
                <xdr:spPr>
                  <a:xfrm rot="10800000">
                    <a:off x="2591558" y="4494983"/>
                    <a:ext cx="637435" cy="127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Calorimeter lag</a:t>
                    </a:r>
                  </a:p>
                </xdr:txBody>
              </xdr:sp>
            </xdr:grpSp>
            <xdr:grpSp>
              <xdr:nvGrpSpPr>
                <xdr:cNvPr id="95" name="Group 94">
                  <a:extLst>
                    <a:ext uri="{FF2B5EF4-FFF2-40B4-BE49-F238E27FC236}">
                      <a16:creationId xmlns:a16="http://schemas.microsoft.com/office/drawing/2014/main" id="{38683DAE-167D-0D96-AED8-AFEA739D614D}"/>
                    </a:ext>
                  </a:extLst>
                </xdr:cNvPr>
                <xdr:cNvGrpSpPr/>
              </xdr:nvGrpSpPr>
              <xdr:grpSpPr>
                <a:xfrm>
                  <a:off x="2682581" y="4676401"/>
                  <a:ext cx="1176803" cy="128175"/>
                  <a:chOff x="2574055" y="4494983"/>
                  <a:chExt cx="1196292" cy="127518"/>
                </a:xfrm>
              </xdr:grpSpPr>
              <xdr:cxnSp macro="">
                <xdr:nvCxnSpPr>
                  <xdr:cNvPr id="99" name="Straight Arrow Connector 98">
                    <a:extLst>
                      <a:ext uri="{FF2B5EF4-FFF2-40B4-BE49-F238E27FC236}">
                        <a16:creationId xmlns:a16="http://schemas.microsoft.com/office/drawing/2014/main" id="{5E40E5EA-3D22-704B-1DD7-8549F1862939}"/>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100" name="TextBox 99">
                    <a:extLst>
                      <a:ext uri="{FF2B5EF4-FFF2-40B4-BE49-F238E27FC236}">
                        <a16:creationId xmlns:a16="http://schemas.microsoft.com/office/drawing/2014/main" id="{E3B6F772-7CC3-2CA2-E714-B2F857B702E9}"/>
                      </a:ext>
                    </a:extLst>
                  </xdr:cNvPr>
                  <xdr:cNvSpPr txBox="1"/>
                </xdr:nvSpPr>
                <xdr:spPr>
                  <a:xfrm rot="10800000">
                    <a:off x="2574055" y="4494983"/>
                    <a:ext cx="675502" cy="127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750"/>
                      <a:t>Stirrer efficiency</a:t>
                    </a:r>
                  </a:p>
                </xdr:txBody>
              </xdr:sp>
            </xdr:grpSp>
            <xdr:grpSp>
              <xdr:nvGrpSpPr>
                <xdr:cNvPr id="96" name="Group 95">
                  <a:extLst>
                    <a:ext uri="{FF2B5EF4-FFF2-40B4-BE49-F238E27FC236}">
                      <a16:creationId xmlns:a16="http://schemas.microsoft.com/office/drawing/2014/main" id="{AA564A5A-B40F-5620-1764-B34A6A6D59CC}"/>
                    </a:ext>
                  </a:extLst>
                </xdr:cNvPr>
                <xdr:cNvGrpSpPr/>
              </xdr:nvGrpSpPr>
              <xdr:grpSpPr>
                <a:xfrm>
                  <a:off x="2870598" y="4981056"/>
                  <a:ext cx="1171680" cy="128175"/>
                  <a:chOff x="2579268" y="4495304"/>
                  <a:chExt cx="1191079" cy="127516"/>
                </a:xfrm>
              </xdr:grpSpPr>
              <xdr:cxnSp macro="">
                <xdr:nvCxnSpPr>
                  <xdr:cNvPr id="97" name="Straight Arrow Connector 96">
                    <a:extLst>
                      <a:ext uri="{FF2B5EF4-FFF2-40B4-BE49-F238E27FC236}">
                        <a16:creationId xmlns:a16="http://schemas.microsoft.com/office/drawing/2014/main" id="{59C37621-987F-86F4-E163-1204A5A25252}"/>
                      </a:ext>
                    </a:extLst>
                  </xdr:cNvPr>
                  <xdr:cNvCxnSpPr/>
                </xdr:nvCxnSpPr>
                <xdr:spPr>
                  <a:xfrm>
                    <a:off x="2582347" y="4617620"/>
                    <a:ext cx="1188000" cy="0"/>
                  </a:xfrm>
                  <a:prstGeom prst="straightConnector1">
                    <a:avLst/>
                  </a:prstGeom>
                  <a:ln w="6350">
                    <a:solidFill>
                      <a:schemeClr val="bg2">
                        <a:lumMod val="75000"/>
                      </a:schemeClr>
                    </a:solidFill>
                    <a:tailEnd type="triangle" w="sm" len="sm"/>
                  </a:ln>
                </xdr:spPr>
                <xdr:style>
                  <a:lnRef idx="2">
                    <a:schemeClr val="dk1"/>
                  </a:lnRef>
                  <a:fillRef idx="0">
                    <a:schemeClr val="dk1"/>
                  </a:fillRef>
                  <a:effectRef idx="1">
                    <a:schemeClr val="dk1"/>
                  </a:effectRef>
                  <a:fontRef idx="minor">
                    <a:schemeClr val="tx1"/>
                  </a:fontRef>
                </xdr:style>
              </xdr:cxnSp>
              <xdr:sp macro="" textlink="">
                <xdr:nvSpPr>
                  <xdr:cNvPr id="98" name="TextBox 97">
                    <a:extLst>
                      <a:ext uri="{FF2B5EF4-FFF2-40B4-BE49-F238E27FC236}">
                        <a16:creationId xmlns:a16="http://schemas.microsoft.com/office/drawing/2014/main" id="{585EEE9E-7C3D-9604-1D15-DC99475CAA2A}"/>
                      </a:ext>
                    </a:extLst>
                  </xdr:cNvPr>
                  <xdr:cNvSpPr txBox="1"/>
                </xdr:nvSpPr>
                <xdr:spPr>
                  <a:xfrm rot="10800000">
                    <a:off x="2579268" y="4495304"/>
                    <a:ext cx="885388" cy="127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none" lIns="0" tIns="0" rIns="0" bIns="0" rtlCol="0" anchor="t">
                    <a:spAutoFit/>
                  </a:bodyPr>
                  <a:lstStyle/>
                  <a:p>
                    <a:r>
                      <a:rPr lang="en-US" sz="750"/>
                      <a:t>Thermistor resolution</a:t>
                    </a:r>
                  </a:p>
                </xdr:txBody>
              </xdr:sp>
            </xdr:grpSp>
          </xdr:grpSp>
        </xdr:grpSp>
        <xdr:grpSp>
          <xdr:nvGrpSpPr>
            <xdr:cNvPr id="117" name="Group 116">
              <a:extLst>
                <a:ext uri="{FF2B5EF4-FFF2-40B4-BE49-F238E27FC236}">
                  <a16:creationId xmlns:a16="http://schemas.microsoft.com/office/drawing/2014/main" id="{39987F14-E729-22D5-3ADA-CD0FC9DA8D5C}"/>
                </a:ext>
              </a:extLst>
            </xdr:cNvPr>
            <xdr:cNvGrpSpPr/>
          </xdr:nvGrpSpPr>
          <xdr:grpSpPr>
            <a:xfrm>
              <a:off x="878770" y="6152335"/>
              <a:ext cx="3655820" cy="129452"/>
              <a:chOff x="878770" y="6152335"/>
              <a:chExt cx="3655820" cy="129452"/>
            </a:xfrm>
          </xdr:grpSpPr>
          <xdr:sp macro="" textlink="">
            <xdr:nvSpPr>
              <xdr:cNvPr id="21" name="TextBox 20">
                <a:extLst>
                  <a:ext uri="{FF2B5EF4-FFF2-40B4-BE49-F238E27FC236}">
                    <a16:creationId xmlns:a16="http://schemas.microsoft.com/office/drawing/2014/main" id="{051C81CC-9625-473D-EEE3-0ED2B4208D16}"/>
                  </a:ext>
                </a:extLst>
              </xdr:cNvPr>
              <xdr:cNvSpPr txBox="1"/>
            </xdr:nvSpPr>
            <xdr:spPr>
              <a:xfrm>
                <a:off x="2136068" y="6152335"/>
                <a:ext cx="1125093" cy="129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Materials</a:t>
                </a:r>
              </a:p>
            </xdr:txBody>
          </xdr:sp>
          <xdr:sp macro="" textlink="">
            <xdr:nvSpPr>
              <xdr:cNvPr id="22" name="TextBox 21">
                <a:extLst>
                  <a:ext uri="{FF2B5EF4-FFF2-40B4-BE49-F238E27FC236}">
                    <a16:creationId xmlns:a16="http://schemas.microsoft.com/office/drawing/2014/main" id="{9DD6FF41-0656-B284-CF86-CC402A58A085}"/>
                  </a:ext>
                </a:extLst>
              </xdr:cNvPr>
              <xdr:cNvSpPr txBox="1"/>
            </xdr:nvSpPr>
            <xdr:spPr>
              <a:xfrm>
                <a:off x="3409497" y="6152335"/>
                <a:ext cx="1125093" cy="129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Instrument Calibration</a:t>
                </a:r>
              </a:p>
            </xdr:txBody>
          </xdr:sp>
          <xdr:sp macro="" textlink="">
            <xdr:nvSpPr>
              <xdr:cNvPr id="116" name="TextBox 115">
                <a:extLst>
                  <a:ext uri="{FF2B5EF4-FFF2-40B4-BE49-F238E27FC236}">
                    <a16:creationId xmlns:a16="http://schemas.microsoft.com/office/drawing/2014/main" id="{57A0E1F9-4AD7-418C-98F8-9194B811887D}"/>
                  </a:ext>
                </a:extLst>
              </xdr:cNvPr>
              <xdr:cNvSpPr txBox="1"/>
            </xdr:nvSpPr>
            <xdr:spPr>
              <a:xfrm>
                <a:off x="878770" y="6152335"/>
                <a:ext cx="1125093" cy="129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1">
                <a:noAutofit/>
              </a:bodyPr>
              <a:lstStyle/>
              <a:p>
                <a:r>
                  <a:rPr lang="en-US" sz="800" b="1"/>
                  <a:t>Equipment Performance</a:t>
                </a:r>
              </a:p>
            </xdr:txBody>
          </xdr:sp>
        </xdr:grp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F9F6-FEE4-46A4-9FD7-08E885A2FD7F}">
  <dimension ref="A1:DP65"/>
  <sheetViews>
    <sheetView showGridLines="0" zoomScaleNormal="100" workbookViewId="0"/>
  </sheetViews>
  <sheetFormatPr defaultRowHeight="12" x14ac:dyDescent="0.2"/>
  <cols>
    <col min="1" max="120" width="1.42578125" style="1" customWidth="1"/>
    <col min="121" max="16384" width="9.140625" style="1"/>
  </cols>
  <sheetData>
    <row r="1" spans="1:120" ht="12" customHeight="1" x14ac:dyDescent="0.2">
      <c r="F1" s="52" t="s">
        <v>102</v>
      </c>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P1" s="16" t="s">
        <v>101</v>
      </c>
      <c r="AQ1" s="15" t="s">
        <v>121</v>
      </c>
      <c r="BB1" s="77" t="s">
        <v>103</v>
      </c>
      <c r="BC1" s="77"/>
      <c r="BD1" s="77"/>
      <c r="BE1" s="77"/>
      <c r="BF1" s="77"/>
      <c r="BG1" s="77"/>
      <c r="BH1" s="77"/>
      <c r="BN1" s="52" t="s">
        <v>102</v>
      </c>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X1" s="16" t="s">
        <v>101</v>
      </c>
      <c r="CY1" s="15" t="str">
        <f>AQ1</f>
        <v>SMJ/FRM/QCD/03/01</v>
      </c>
      <c r="DJ1" s="77" t="s">
        <v>99</v>
      </c>
      <c r="DK1" s="77"/>
      <c r="DL1" s="77"/>
      <c r="DM1" s="77"/>
      <c r="DN1" s="77"/>
      <c r="DO1" s="77"/>
      <c r="DP1" s="77"/>
    </row>
    <row r="2" spans="1:120" ht="12" customHeight="1" x14ac:dyDescent="0.2">
      <c r="F2" s="78" t="s">
        <v>98</v>
      </c>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P2" s="16" t="s">
        <v>97</v>
      </c>
      <c r="AQ2" s="15" t="s">
        <v>96</v>
      </c>
      <c r="BB2" s="77" t="s">
        <v>95</v>
      </c>
      <c r="BC2" s="77"/>
      <c r="BD2" s="77"/>
      <c r="BE2" s="77"/>
      <c r="BF2" s="77"/>
      <c r="BG2" s="77"/>
      <c r="BH2" s="77"/>
      <c r="BN2" s="78" t="s">
        <v>98</v>
      </c>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X2" s="16" t="s">
        <v>97</v>
      </c>
      <c r="CY2" s="15" t="s">
        <v>96</v>
      </c>
      <c r="DJ2" s="77" t="s">
        <v>95</v>
      </c>
      <c r="DK2" s="77"/>
      <c r="DL2" s="77"/>
      <c r="DM2" s="77"/>
      <c r="DN2" s="77"/>
      <c r="DO2" s="77"/>
      <c r="DP2" s="77"/>
    </row>
    <row r="3" spans="1:120" ht="12" customHeight="1" x14ac:dyDescent="0.2">
      <c r="A3" s="2"/>
      <c r="B3" s="2"/>
      <c r="C3" s="2"/>
      <c r="D3" s="2"/>
      <c r="E3" s="2"/>
      <c r="F3" s="76" t="s">
        <v>104</v>
      </c>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76" t="str">
        <f>F3</f>
        <v>UoM for determining Moisture Content in Coal</v>
      </c>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2"/>
      <c r="CR3" s="2"/>
      <c r="CS3" s="2"/>
      <c r="CT3" s="2"/>
      <c r="CU3" s="2"/>
      <c r="CV3" s="2"/>
      <c r="CW3" s="2"/>
      <c r="CX3" s="2"/>
      <c r="CY3" s="2"/>
      <c r="CZ3" s="2"/>
      <c r="DA3" s="2"/>
      <c r="DB3" s="2"/>
      <c r="DC3" s="2"/>
      <c r="DD3" s="2"/>
      <c r="DE3" s="2"/>
      <c r="DF3" s="2"/>
      <c r="DG3" s="2"/>
      <c r="DH3" s="2"/>
      <c r="DI3" s="2"/>
      <c r="DJ3" s="2"/>
      <c r="DK3" s="2"/>
      <c r="DL3" s="2"/>
      <c r="DM3" s="2"/>
      <c r="DN3" s="2"/>
      <c r="DO3" s="2"/>
      <c r="DP3" s="2"/>
    </row>
    <row r="4" spans="1:120" ht="12" customHeight="1" x14ac:dyDescent="0.2"/>
    <row r="5" spans="1:120" ht="12" customHeight="1" x14ac:dyDescent="0.2">
      <c r="A5" s="4"/>
      <c r="B5" s="4"/>
      <c r="C5" s="52" t="str">
        <f>"1."</f>
        <v>1.</v>
      </c>
      <c r="D5" s="52"/>
      <c r="E5" s="52" t="s">
        <v>93</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4"/>
      <c r="BI5" s="4"/>
      <c r="BJ5" s="52" t="str">
        <f>"6."</f>
        <v>6.</v>
      </c>
      <c r="BK5" s="52"/>
      <c r="BL5" s="52" t="s">
        <v>92</v>
      </c>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row>
    <row r="6" spans="1:120" ht="12" customHeight="1" x14ac:dyDescent="0.2">
      <c r="E6" s="47" t="s">
        <v>105</v>
      </c>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L6" s="51" t="s">
        <v>109</v>
      </c>
      <c r="BM6" s="51"/>
      <c r="BN6" s="51"/>
      <c r="BO6" s="51"/>
      <c r="BP6" s="51"/>
      <c r="BQ6" s="51"/>
      <c r="BR6" s="51"/>
      <c r="BS6" s="51"/>
      <c r="BT6" s="51"/>
      <c r="BU6" s="51"/>
      <c r="BV6" s="51"/>
      <c r="BW6" s="51"/>
      <c r="BX6" s="51"/>
      <c r="BY6" s="51"/>
      <c r="BZ6" s="51"/>
      <c r="CA6" s="51"/>
      <c r="CB6" s="51"/>
      <c r="CC6" s="51"/>
      <c r="CD6" s="51"/>
      <c r="CE6" s="51"/>
      <c r="CF6" s="51"/>
      <c r="CG6" s="51"/>
    </row>
    <row r="7" spans="1:120" ht="12" customHeight="1" x14ac:dyDescent="0.2">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K7" s="17"/>
      <c r="BL7" s="35" t="s">
        <v>110</v>
      </c>
      <c r="BM7" s="35"/>
      <c r="BN7" s="35"/>
      <c r="BO7" s="35"/>
      <c r="BP7" s="35"/>
      <c r="BQ7" s="35"/>
      <c r="BR7" s="35"/>
      <c r="BS7" s="35"/>
      <c r="BT7" s="35"/>
      <c r="BU7" s="35"/>
      <c r="BV7" s="35"/>
      <c r="BW7" s="73" t="s">
        <v>111</v>
      </c>
      <c r="BX7" s="73"/>
      <c r="BY7" s="73"/>
      <c r="BZ7" s="73"/>
      <c r="CA7" s="73"/>
      <c r="CB7" s="74" t="s">
        <v>88</v>
      </c>
      <c r="CC7" s="74"/>
      <c r="CD7" s="74"/>
      <c r="CE7" s="74"/>
      <c r="CG7" s="75" t="s">
        <v>87</v>
      </c>
      <c r="CH7" s="75"/>
      <c r="CI7" s="75"/>
      <c r="CJ7" s="75"/>
      <c r="CK7" s="17" t="s">
        <v>112</v>
      </c>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20" ht="12" customHeight="1" x14ac:dyDescent="0.2">
      <c r="BK8" s="17"/>
      <c r="BL8" s="35"/>
      <c r="BM8" s="35"/>
      <c r="BN8" s="35"/>
      <c r="BO8" s="35"/>
      <c r="BP8" s="35"/>
      <c r="BQ8" s="35"/>
      <c r="BR8" s="35"/>
      <c r="BS8" s="35"/>
      <c r="BT8" s="35"/>
      <c r="BU8" s="35"/>
      <c r="BV8" s="35"/>
      <c r="BW8" s="72" t="s">
        <v>85</v>
      </c>
      <c r="BX8" s="72"/>
      <c r="BY8" s="72"/>
      <c r="BZ8" s="72"/>
      <c r="CA8" s="72"/>
      <c r="CB8" s="74"/>
      <c r="CC8" s="74"/>
      <c r="CD8" s="74"/>
      <c r="CE8" s="74"/>
      <c r="CG8" s="11"/>
      <c r="CH8" s="11"/>
      <c r="CI8" s="11"/>
      <c r="CJ8" s="11"/>
      <c r="CK8" s="17" t="s">
        <v>113</v>
      </c>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20" ht="12" customHeight="1" x14ac:dyDescent="0.2">
      <c r="A9" s="4"/>
      <c r="B9" s="4"/>
      <c r="C9" s="52" t="str">
        <f>"2."</f>
        <v>2.</v>
      </c>
      <c r="D9" s="52"/>
      <c r="E9" s="52" t="s">
        <v>84</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4"/>
      <c r="BK9" s="17"/>
      <c r="BL9" s="17"/>
      <c r="BN9" s="3"/>
      <c r="BO9" s="3"/>
      <c r="BP9" s="3"/>
      <c r="BQ9" s="3"/>
      <c r="BR9" s="3"/>
      <c r="BS9" s="3"/>
      <c r="BT9" s="3"/>
      <c r="BU9" s="3"/>
      <c r="BV9" s="3"/>
      <c r="BW9" s="3"/>
      <c r="BX9" s="3"/>
      <c r="BY9" s="3"/>
      <c r="BZ9" s="3"/>
      <c r="CA9" s="3"/>
      <c r="CB9" s="3"/>
      <c r="CC9" s="3"/>
      <c r="CD9" s="3"/>
      <c r="CE9" s="3"/>
      <c r="CF9" s="3"/>
      <c r="CG9" s="3"/>
      <c r="CH9" s="3"/>
      <c r="CI9" s="3"/>
      <c r="CJ9" s="3"/>
      <c r="CK9" s="17" t="s">
        <v>114</v>
      </c>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20" ht="12" customHeight="1" x14ac:dyDescent="0.2">
      <c r="E10" s="71" t="str">
        <f>"2.1."</f>
        <v>2.1.</v>
      </c>
      <c r="F10" s="71"/>
      <c r="G10" s="71"/>
      <c r="H10" s="53" t="s">
        <v>82</v>
      </c>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L10" s="14"/>
      <c r="BM10" s="14"/>
      <c r="BN10" s="14"/>
      <c r="BO10" s="14"/>
      <c r="BP10" s="14"/>
      <c r="BQ10" s="14"/>
      <c r="BR10" s="14"/>
      <c r="BS10" s="14"/>
      <c r="BT10" s="14"/>
      <c r="BU10" s="13"/>
      <c r="BV10" s="13"/>
      <c r="BW10" s="13"/>
      <c r="BX10" s="13"/>
      <c r="BY10" s="13"/>
      <c r="BZ10" s="12"/>
      <c r="CA10" s="12"/>
      <c r="CB10" s="12"/>
      <c r="CC10" s="12"/>
      <c r="CE10" s="11"/>
      <c r="CF10" s="11"/>
      <c r="CG10" s="11"/>
      <c r="CH10" s="11"/>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row>
    <row r="11" spans="1:120" ht="12" customHeight="1" x14ac:dyDescent="0.2">
      <c r="H11" s="70" t="s">
        <v>81</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I11" s="4"/>
      <c r="BJ11" s="52" t="str">
        <f>"7."</f>
        <v>7.</v>
      </c>
      <c r="BK11" s="52"/>
      <c r="BL11" s="52" t="s">
        <v>80</v>
      </c>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row>
    <row r="12" spans="1:120" ht="12" customHeight="1" x14ac:dyDescent="0.2">
      <c r="E12" s="71" t="str">
        <f>"2.2."</f>
        <v>2.2.</v>
      </c>
      <c r="F12" s="71"/>
      <c r="G12" s="71"/>
      <c r="H12" s="53" t="s">
        <v>79</v>
      </c>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L12" s="53" t="s">
        <v>78</v>
      </c>
      <c r="BM12" s="53"/>
      <c r="BN12" s="53"/>
      <c r="BO12" s="53" t="s">
        <v>29</v>
      </c>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row>
    <row r="13" spans="1:120" ht="12" customHeight="1" x14ac:dyDescent="0.2">
      <c r="H13" s="70" t="s">
        <v>77</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O13" s="49" t="s">
        <v>76</v>
      </c>
      <c r="BP13" s="49"/>
      <c r="BQ13" s="49"/>
      <c r="BR13" s="49"/>
      <c r="BS13" s="49"/>
      <c r="BT13" s="49"/>
      <c r="BU13" s="49"/>
      <c r="BV13" s="49"/>
      <c r="BW13" s="49"/>
      <c r="BX13" s="49"/>
      <c r="BY13" s="49"/>
      <c r="BZ13" s="49"/>
      <c r="CA13" s="49" t="s">
        <v>75</v>
      </c>
      <c r="CB13" s="49"/>
      <c r="CC13" s="49"/>
      <c r="CD13" s="49"/>
      <c r="CE13" s="49"/>
      <c r="CF13" s="49"/>
      <c r="CG13" s="49"/>
      <c r="CH13" s="49"/>
      <c r="CI13" s="49"/>
      <c r="CJ13" s="49" t="s">
        <v>74</v>
      </c>
      <c r="CK13" s="49"/>
      <c r="CL13" s="49"/>
      <c r="CM13" s="49"/>
      <c r="CN13" s="49"/>
      <c r="CO13" s="49"/>
      <c r="CP13" s="49"/>
      <c r="CQ13" s="49"/>
      <c r="CR13" s="49"/>
      <c r="CS13" s="49" t="s">
        <v>73</v>
      </c>
      <c r="CT13" s="49"/>
      <c r="CU13" s="49"/>
      <c r="CV13" s="49"/>
      <c r="CW13" s="49"/>
      <c r="CX13" s="49"/>
      <c r="CY13" s="49"/>
      <c r="CZ13" s="49"/>
      <c r="DA13" s="49"/>
      <c r="DB13" s="49" t="s">
        <v>124</v>
      </c>
      <c r="DC13" s="49"/>
      <c r="DD13" s="49"/>
      <c r="DE13" s="49"/>
      <c r="DF13" s="49"/>
      <c r="DG13" s="49"/>
      <c r="DH13" s="49"/>
      <c r="DI13" s="49"/>
      <c r="DJ13" s="49"/>
      <c r="DK13" s="49"/>
      <c r="DL13" s="49"/>
      <c r="DM13" s="49"/>
      <c r="DN13" s="49"/>
    </row>
    <row r="14" spans="1:120" ht="12" customHeight="1" x14ac:dyDescent="0.2">
      <c r="C14" s="60" t="str">
        <f>"3."</f>
        <v>3.</v>
      </c>
      <c r="D14" s="60"/>
      <c r="E14" s="61" t="s">
        <v>71</v>
      </c>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O14" s="68" t="s">
        <v>70</v>
      </c>
      <c r="BP14" s="68"/>
      <c r="BQ14" s="68"/>
      <c r="BR14" s="68"/>
      <c r="BS14" s="68"/>
      <c r="BT14" s="68"/>
      <c r="BU14" s="68"/>
      <c r="BV14" s="68"/>
      <c r="BW14" s="68"/>
      <c r="BX14" s="68"/>
      <c r="BY14" s="68"/>
      <c r="BZ14" s="68"/>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8" t="str">
        <f>IFERROR(ROUND(100*(CJ14-CS14)/(CJ14-CA14),5),"--")</f>
        <v>--</v>
      </c>
      <c r="DC14" s="68"/>
      <c r="DD14" s="68"/>
      <c r="DE14" s="68"/>
      <c r="DF14" s="68"/>
      <c r="DG14" s="68"/>
      <c r="DH14" s="68"/>
      <c r="DI14" s="68"/>
      <c r="DJ14" s="68"/>
      <c r="DK14" s="68"/>
      <c r="DL14" s="68"/>
      <c r="DM14" s="68"/>
      <c r="DN14" s="68"/>
    </row>
    <row r="15" spans="1:120" ht="12" customHeight="1" x14ac:dyDescent="0.2">
      <c r="A15" s="4"/>
      <c r="B15" s="4"/>
      <c r="C15" s="60"/>
      <c r="D15" s="60"/>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4"/>
      <c r="BO15" s="68" t="s">
        <v>69</v>
      </c>
      <c r="BP15" s="68"/>
      <c r="BQ15" s="68"/>
      <c r="BR15" s="68"/>
      <c r="BS15" s="68"/>
      <c r="BT15" s="68"/>
      <c r="BU15" s="68"/>
      <c r="BV15" s="68"/>
      <c r="BW15" s="68"/>
      <c r="BX15" s="68"/>
      <c r="BY15" s="68"/>
      <c r="BZ15" s="68"/>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8" t="str">
        <f t="shared" ref="DB15:DB23" si="0">IFERROR(ROUND(100*(CJ15-CS15)/(CJ15-CA15),5),"--")</f>
        <v>--</v>
      </c>
      <c r="DC15" s="68"/>
      <c r="DD15" s="68"/>
      <c r="DE15" s="68"/>
      <c r="DF15" s="68"/>
      <c r="DG15" s="68"/>
      <c r="DH15" s="68"/>
      <c r="DI15" s="68"/>
      <c r="DJ15" s="68"/>
      <c r="DK15" s="68"/>
      <c r="DL15" s="68"/>
      <c r="DM15" s="68"/>
      <c r="DN15" s="68"/>
    </row>
    <row r="16" spans="1:120" ht="12" customHeight="1" x14ac:dyDescent="0.2">
      <c r="BO16" s="68" t="s">
        <v>68</v>
      </c>
      <c r="BP16" s="68"/>
      <c r="BQ16" s="68"/>
      <c r="BR16" s="68"/>
      <c r="BS16" s="68"/>
      <c r="BT16" s="68"/>
      <c r="BU16" s="68"/>
      <c r="BV16" s="68"/>
      <c r="BW16" s="68"/>
      <c r="BX16" s="68"/>
      <c r="BY16" s="68"/>
      <c r="BZ16" s="68"/>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8" t="str">
        <f t="shared" si="0"/>
        <v>--</v>
      </c>
      <c r="DC16" s="68"/>
      <c r="DD16" s="68"/>
      <c r="DE16" s="68"/>
      <c r="DF16" s="68"/>
      <c r="DG16" s="68"/>
      <c r="DH16" s="68"/>
      <c r="DI16" s="68"/>
      <c r="DJ16" s="68"/>
      <c r="DK16" s="68"/>
      <c r="DL16" s="68"/>
      <c r="DM16" s="68"/>
      <c r="DN16" s="68"/>
    </row>
    <row r="17" spans="1:118" ht="12" customHeight="1" x14ac:dyDescent="0.2">
      <c r="BO17" s="68" t="s">
        <v>67</v>
      </c>
      <c r="BP17" s="68"/>
      <c r="BQ17" s="68"/>
      <c r="BR17" s="68"/>
      <c r="BS17" s="68"/>
      <c r="BT17" s="68"/>
      <c r="BU17" s="68"/>
      <c r="BV17" s="68"/>
      <c r="BW17" s="68"/>
      <c r="BX17" s="68"/>
      <c r="BY17" s="68"/>
      <c r="BZ17" s="68"/>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8" t="str">
        <f t="shared" si="0"/>
        <v>--</v>
      </c>
      <c r="DC17" s="68"/>
      <c r="DD17" s="68"/>
      <c r="DE17" s="68"/>
      <c r="DF17" s="68"/>
      <c r="DG17" s="68"/>
      <c r="DH17" s="68"/>
      <c r="DI17" s="68"/>
      <c r="DJ17" s="68"/>
      <c r="DK17" s="68"/>
      <c r="DL17" s="68"/>
      <c r="DM17" s="68"/>
      <c r="DN17" s="68"/>
    </row>
    <row r="18" spans="1:118" ht="12" customHeight="1" x14ac:dyDescent="0.2">
      <c r="BO18" s="68" t="s">
        <v>66</v>
      </c>
      <c r="BP18" s="68"/>
      <c r="BQ18" s="68"/>
      <c r="BR18" s="68"/>
      <c r="BS18" s="68"/>
      <c r="BT18" s="68"/>
      <c r="BU18" s="68"/>
      <c r="BV18" s="68"/>
      <c r="BW18" s="68"/>
      <c r="BX18" s="68"/>
      <c r="BY18" s="68"/>
      <c r="BZ18" s="68"/>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8" t="str">
        <f t="shared" si="0"/>
        <v>--</v>
      </c>
      <c r="DC18" s="68"/>
      <c r="DD18" s="68"/>
      <c r="DE18" s="68"/>
      <c r="DF18" s="68"/>
      <c r="DG18" s="68"/>
      <c r="DH18" s="68"/>
      <c r="DI18" s="68"/>
      <c r="DJ18" s="68"/>
      <c r="DK18" s="68"/>
      <c r="DL18" s="68"/>
      <c r="DM18" s="68"/>
      <c r="DN18" s="68"/>
    </row>
    <row r="19" spans="1:118" ht="12" customHeight="1" x14ac:dyDescent="0.2">
      <c r="BO19" s="68" t="s">
        <v>65</v>
      </c>
      <c r="BP19" s="68"/>
      <c r="BQ19" s="68"/>
      <c r="BR19" s="68"/>
      <c r="BS19" s="68"/>
      <c r="BT19" s="68"/>
      <c r="BU19" s="68"/>
      <c r="BV19" s="68"/>
      <c r="BW19" s="68"/>
      <c r="BX19" s="68"/>
      <c r="BY19" s="68"/>
      <c r="BZ19" s="68"/>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8" t="str">
        <f t="shared" si="0"/>
        <v>--</v>
      </c>
      <c r="DC19" s="68"/>
      <c r="DD19" s="68"/>
      <c r="DE19" s="68"/>
      <c r="DF19" s="68"/>
      <c r="DG19" s="68"/>
      <c r="DH19" s="68"/>
      <c r="DI19" s="68"/>
      <c r="DJ19" s="68"/>
      <c r="DK19" s="68"/>
      <c r="DL19" s="68"/>
      <c r="DM19" s="68"/>
      <c r="DN19" s="68"/>
    </row>
    <row r="20" spans="1:118" ht="12" customHeight="1" x14ac:dyDescent="0.2">
      <c r="BO20" s="68" t="s">
        <v>64</v>
      </c>
      <c r="BP20" s="68"/>
      <c r="BQ20" s="68"/>
      <c r="BR20" s="68"/>
      <c r="BS20" s="68"/>
      <c r="BT20" s="68"/>
      <c r="BU20" s="68"/>
      <c r="BV20" s="68"/>
      <c r="BW20" s="68"/>
      <c r="BX20" s="68"/>
      <c r="BY20" s="68"/>
      <c r="BZ20" s="68"/>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8" t="str">
        <f t="shared" si="0"/>
        <v>--</v>
      </c>
      <c r="DC20" s="68"/>
      <c r="DD20" s="68"/>
      <c r="DE20" s="68"/>
      <c r="DF20" s="68"/>
      <c r="DG20" s="68"/>
      <c r="DH20" s="68"/>
      <c r="DI20" s="68"/>
      <c r="DJ20" s="68"/>
      <c r="DK20" s="68"/>
      <c r="DL20" s="68"/>
      <c r="DM20" s="68"/>
      <c r="DN20" s="68"/>
    </row>
    <row r="21" spans="1:118" ht="12" customHeight="1" x14ac:dyDescent="0.2">
      <c r="BO21" s="68" t="s">
        <v>63</v>
      </c>
      <c r="BP21" s="68"/>
      <c r="BQ21" s="68"/>
      <c r="BR21" s="68"/>
      <c r="BS21" s="68"/>
      <c r="BT21" s="68"/>
      <c r="BU21" s="68"/>
      <c r="BV21" s="68"/>
      <c r="BW21" s="68"/>
      <c r="BX21" s="68"/>
      <c r="BY21" s="68"/>
      <c r="BZ21" s="68"/>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8" t="str">
        <f t="shared" si="0"/>
        <v>--</v>
      </c>
      <c r="DC21" s="68"/>
      <c r="DD21" s="68"/>
      <c r="DE21" s="68"/>
      <c r="DF21" s="68"/>
      <c r="DG21" s="68"/>
      <c r="DH21" s="68"/>
      <c r="DI21" s="68"/>
      <c r="DJ21" s="68"/>
      <c r="DK21" s="68"/>
      <c r="DL21" s="68"/>
      <c r="DM21" s="68"/>
      <c r="DN21" s="68"/>
    </row>
    <row r="22" spans="1:118" ht="12" customHeight="1" x14ac:dyDescent="0.2">
      <c r="BO22" s="68" t="s">
        <v>62</v>
      </c>
      <c r="BP22" s="68"/>
      <c r="BQ22" s="68"/>
      <c r="BR22" s="68"/>
      <c r="BS22" s="68"/>
      <c r="BT22" s="68"/>
      <c r="BU22" s="68"/>
      <c r="BV22" s="68"/>
      <c r="BW22" s="68"/>
      <c r="BX22" s="68"/>
      <c r="BY22" s="68"/>
      <c r="BZ22" s="68"/>
      <c r="CA22" s="69"/>
      <c r="CB22" s="69"/>
      <c r="CC22" s="69"/>
      <c r="CD22" s="69"/>
      <c r="CE22" s="69"/>
      <c r="CF22" s="69"/>
      <c r="CG22" s="69"/>
      <c r="CH22" s="69"/>
      <c r="CI22" s="69"/>
      <c r="CJ22" s="69"/>
      <c r="CK22" s="69"/>
      <c r="CL22" s="69"/>
      <c r="CM22" s="69"/>
      <c r="CN22" s="69"/>
      <c r="CO22" s="69"/>
      <c r="CP22" s="69"/>
      <c r="CQ22" s="69"/>
      <c r="CR22" s="69"/>
      <c r="CS22" s="69"/>
      <c r="CT22" s="69"/>
      <c r="CU22" s="69"/>
      <c r="CV22" s="69"/>
      <c r="CW22" s="69"/>
      <c r="CX22" s="69"/>
      <c r="CY22" s="69"/>
      <c r="CZ22" s="69"/>
      <c r="DA22" s="69"/>
      <c r="DB22" s="68" t="str">
        <f t="shared" si="0"/>
        <v>--</v>
      </c>
      <c r="DC22" s="68"/>
      <c r="DD22" s="68"/>
      <c r="DE22" s="68"/>
      <c r="DF22" s="68"/>
      <c r="DG22" s="68"/>
      <c r="DH22" s="68"/>
      <c r="DI22" s="68"/>
      <c r="DJ22" s="68"/>
      <c r="DK22" s="68"/>
      <c r="DL22" s="68"/>
      <c r="DM22" s="68"/>
      <c r="DN22" s="68"/>
    </row>
    <row r="23" spans="1:118" ht="12" customHeight="1" x14ac:dyDescent="0.2">
      <c r="BO23" s="68" t="s">
        <v>61</v>
      </c>
      <c r="BP23" s="68"/>
      <c r="BQ23" s="68"/>
      <c r="BR23" s="68"/>
      <c r="BS23" s="68"/>
      <c r="BT23" s="68"/>
      <c r="BU23" s="68"/>
      <c r="BV23" s="68"/>
      <c r="BW23" s="68"/>
      <c r="BX23" s="68"/>
      <c r="BY23" s="68"/>
      <c r="BZ23" s="68"/>
      <c r="CA23" s="69"/>
      <c r="CB23" s="69"/>
      <c r="CC23" s="69"/>
      <c r="CD23" s="69"/>
      <c r="CE23" s="69"/>
      <c r="CF23" s="69"/>
      <c r="CG23" s="69"/>
      <c r="CH23" s="69"/>
      <c r="CI23" s="69"/>
      <c r="CJ23" s="69"/>
      <c r="CK23" s="69"/>
      <c r="CL23" s="69"/>
      <c r="CM23" s="69"/>
      <c r="CN23" s="69"/>
      <c r="CO23" s="69"/>
      <c r="CP23" s="69"/>
      <c r="CQ23" s="69"/>
      <c r="CR23" s="69"/>
      <c r="CS23" s="69"/>
      <c r="CT23" s="69"/>
      <c r="CU23" s="69"/>
      <c r="CV23" s="69"/>
      <c r="CW23" s="69"/>
      <c r="CX23" s="69"/>
      <c r="CY23" s="69"/>
      <c r="CZ23" s="69"/>
      <c r="DA23" s="69"/>
      <c r="DB23" s="68" t="str">
        <f t="shared" si="0"/>
        <v>--</v>
      </c>
      <c r="DC23" s="68"/>
      <c r="DD23" s="68"/>
      <c r="DE23" s="68"/>
      <c r="DF23" s="68"/>
      <c r="DG23" s="68"/>
      <c r="DH23" s="68"/>
      <c r="DI23" s="68"/>
      <c r="DJ23" s="68"/>
      <c r="DK23" s="68"/>
      <c r="DL23" s="68"/>
      <c r="DM23" s="68"/>
      <c r="DN23" s="68"/>
    </row>
    <row r="24" spans="1:118" ht="12" customHeight="1" x14ac:dyDescent="0.2">
      <c r="BO24" s="62" t="s">
        <v>115</v>
      </c>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3"/>
      <c r="DB24" s="64" t="str">
        <f>IFERROR(ROUND(AVERAGE(DB14:DB23),3),"--")</f>
        <v>--</v>
      </c>
      <c r="DC24" s="64"/>
      <c r="DD24" s="64"/>
      <c r="DE24" s="64"/>
      <c r="DF24" s="64"/>
      <c r="DG24" s="64"/>
      <c r="DH24" s="64"/>
      <c r="DI24" s="64"/>
      <c r="DJ24" s="64"/>
      <c r="DK24" s="64"/>
      <c r="DL24" s="64"/>
      <c r="DM24" s="64"/>
      <c r="DN24" s="64"/>
    </row>
    <row r="25" spans="1:118" ht="12" customHeight="1" x14ac:dyDescent="0.2">
      <c r="BO25" s="65" t="s">
        <v>59</v>
      </c>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6"/>
      <c r="DB25" s="67" t="str">
        <f>IFERROR(ROUND(STDEV(DB14:DB23),3),"--")</f>
        <v>--</v>
      </c>
      <c r="DC25" s="67"/>
      <c r="DD25" s="67"/>
      <c r="DE25" s="67"/>
      <c r="DF25" s="67"/>
      <c r="DG25" s="67"/>
      <c r="DH25" s="67"/>
      <c r="DI25" s="67"/>
      <c r="DJ25" s="67"/>
      <c r="DK25" s="67"/>
      <c r="DL25" s="67"/>
      <c r="DM25" s="67"/>
      <c r="DN25" s="67"/>
    </row>
    <row r="26" spans="1:118" ht="12" customHeight="1" x14ac:dyDescent="0.2">
      <c r="BL26" s="53" t="s">
        <v>58</v>
      </c>
      <c r="BM26" s="53"/>
      <c r="BN26" s="53"/>
      <c r="BO26" s="53" t="s">
        <v>57</v>
      </c>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row>
    <row r="27" spans="1:118" ht="12" customHeight="1" x14ac:dyDescent="0.25">
      <c r="C27" s="60" t="str">
        <f>"4."</f>
        <v>4.</v>
      </c>
      <c r="D27" s="60"/>
      <c r="E27" s="61" t="s">
        <v>56</v>
      </c>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O27" s="54" t="s">
        <v>35</v>
      </c>
      <c r="BP27" s="55"/>
      <c r="BQ27" s="55"/>
      <c r="BR27" s="55"/>
      <c r="BS27" s="55"/>
      <c r="BT27" s="55"/>
      <c r="BU27" s="55"/>
      <c r="BV27" s="55"/>
      <c r="BW27" s="55"/>
      <c r="BX27" s="55"/>
      <c r="BY27" s="55"/>
      <c r="BZ27" s="55"/>
      <c r="CA27" s="55"/>
      <c r="CB27" s="56"/>
      <c r="CC27" s="54" t="s">
        <v>32</v>
      </c>
      <c r="CD27" s="55"/>
      <c r="CE27" s="55"/>
      <c r="CF27" s="55"/>
      <c r="CG27" s="55"/>
      <c r="CH27" s="55"/>
      <c r="CI27" s="55"/>
      <c r="CJ27" s="56"/>
      <c r="CK27" s="54" t="s">
        <v>44</v>
      </c>
      <c r="CL27" s="55"/>
      <c r="CM27" s="55"/>
      <c r="CN27" s="55"/>
      <c r="CO27" s="55"/>
      <c r="CP27" s="55"/>
      <c r="CQ27" s="55"/>
      <c r="CR27" s="56"/>
      <c r="CS27" s="54" t="s">
        <v>55</v>
      </c>
      <c r="CT27" s="55"/>
      <c r="CU27" s="55"/>
      <c r="CV27" s="55"/>
      <c r="CW27" s="55"/>
      <c r="CX27" s="55"/>
      <c r="CY27" s="55"/>
      <c r="CZ27" s="56"/>
      <c r="DA27" s="54" t="s">
        <v>54</v>
      </c>
      <c r="DB27" s="55"/>
      <c r="DC27" s="55"/>
      <c r="DD27" s="55"/>
      <c r="DE27" s="55"/>
      <c r="DF27" s="55"/>
      <c r="DG27" s="55"/>
      <c r="DH27" s="55"/>
      <c r="DI27" s="55"/>
      <c r="DJ27" s="55"/>
      <c r="DK27" s="55"/>
      <c r="DL27" s="55"/>
      <c r="DM27" s="55"/>
      <c r="DN27" s="56"/>
    </row>
    <row r="28" spans="1:118" ht="12" customHeight="1" x14ac:dyDescent="0.2">
      <c r="A28" s="4"/>
      <c r="B28" s="4"/>
      <c r="C28" s="60"/>
      <c r="D28" s="60"/>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4"/>
      <c r="BO28" s="23" t="str">
        <f>E51</f>
        <v>Repeatability</v>
      </c>
      <c r="BP28" s="24"/>
      <c r="BQ28" s="24"/>
      <c r="BR28" s="24"/>
      <c r="BS28" s="24"/>
      <c r="BT28" s="24"/>
      <c r="BU28" s="24"/>
      <c r="BV28" s="24"/>
      <c r="BW28" s="24"/>
      <c r="BX28" s="24"/>
      <c r="BY28" s="24"/>
      <c r="BZ28" s="24"/>
      <c r="CA28" s="24"/>
      <c r="CB28" s="25"/>
      <c r="CC28" s="26" t="str">
        <f>AR51</f>
        <v>%</v>
      </c>
      <c r="CD28" s="27"/>
      <c r="CE28" s="27"/>
      <c r="CF28" s="27"/>
      <c r="CG28" s="27"/>
      <c r="CH28" s="27"/>
      <c r="CI28" s="27"/>
      <c r="CJ28" s="28"/>
      <c r="CK28" s="57" t="str">
        <f>IFERROR(ROUND(DB25/SQRT(COUNT(DB14:DB23)),5),"--")</f>
        <v>--</v>
      </c>
      <c r="CL28" s="58"/>
      <c r="CM28" s="58"/>
      <c r="CN28" s="58"/>
      <c r="CO28" s="58"/>
      <c r="CP28" s="58"/>
      <c r="CQ28" s="58"/>
      <c r="CR28" s="59"/>
      <c r="CS28" s="26">
        <v>1</v>
      </c>
      <c r="CT28" s="27"/>
      <c r="CU28" s="27"/>
      <c r="CV28" s="27"/>
      <c r="CW28" s="27"/>
      <c r="CX28" s="27"/>
      <c r="CY28" s="27"/>
      <c r="CZ28" s="28"/>
      <c r="DA28" s="29" t="str">
        <f t="shared" ref="DA28:DA34" si="1">IFERROR(ROUND(CK28/IF(CS28=1,1,SQRT(3)),7),"--")</f>
        <v>--</v>
      </c>
      <c r="DB28" s="30"/>
      <c r="DC28" s="30"/>
      <c r="DD28" s="30"/>
      <c r="DE28" s="30"/>
      <c r="DF28" s="30"/>
      <c r="DG28" s="30"/>
      <c r="DH28" s="30"/>
      <c r="DI28" s="30"/>
      <c r="DJ28" s="30"/>
      <c r="DK28" s="30"/>
      <c r="DL28" s="30"/>
      <c r="DM28" s="30"/>
      <c r="DN28" s="31"/>
    </row>
    <row r="29" spans="1:118" ht="12" customHeight="1" x14ac:dyDescent="0.2">
      <c r="BO29" s="23" t="str">
        <f>E53</f>
        <v>Balance Readability</v>
      </c>
      <c r="BP29" s="24"/>
      <c r="BQ29" s="24"/>
      <c r="BR29" s="24"/>
      <c r="BS29" s="24"/>
      <c r="BT29" s="24"/>
      <c r="BU29" s="24"/>
      <c r="BV29" s="24"/>
      <c r="BW29" s="24"/>
      <c r="BX29" s="24"/>
      <c r="BY29" s="24"/>
      <c r="BZ29" s="24"/>
      <c r="CA29" s="24"/>
      <c r="CB29" s="25"/>
      <c r="CC29" s="26" t="str">
        <f>AR53</f>
        <v>g</v>
      </c>
      <c r="CD29" s="27"/>
      <c r="CE29" s="27"/>
      <c r="CF29" s="27"/>
      <c r="CG29" s="27"/>
      <c r="CH29" s="27"/>
      <c r="CI29" s="27"/>
      <c r="CJ29" s="28"/>
      <c r="CK29" s="26">
        <v>1E-4</v>
      </c>
      <c r="CL29" s="27"/>
      <c r="CM29" s="27"/>
      <c r="CN29" s="27"/>
      <c r="CO29" s="27"/>
      <c r="CP29" s="27"/>
      <c r="CQ29" s="27"/>
      <c r="CR29" s="28"/>
      <c r="CS29" s="26" t="s">
        <v>53</v>
      </c>
      <c r="CT29" s="27"/>
      <c r="CU29" s="27"/>
      <c r="CV29" s="27"/>
      <c r="CW29" s="27"/>
      <c r="CX29" s="27"/>
      <c r="CY29" s="27"/>
      <c r="CZ29" s="28"/>
      <c r="DA29" s="29">
        <f t="shared" si="1"/>
        <v>5.77E-5</v>
      </c>
      <c r="DB29" s="30"/>
      <c r="DC29" s="30"/>
      <c r="DD29" s="30"/>
      <c r="DE29" s="30"/>
      <c r="DF29" s="30"/>
      <c r="DG29" s="30"/>
      <c r="DH29" s="30"/>
      <c r="DI29" s="30"/>
      <c r="DJ29" s="30"/>
      <c r="DK29" s="30"/>
      <c r="DL29" s="30"/>
      <c r="DM29" s="30"/>
      <c r="DN29" s="31"/>
    </row>
    <row r="30" spans="1:118" ht="12" customHeight="1" x14ac:dyDescent="0.2">
      <c r="BO30" s="23" t="str">
        <f>E55</f>
        <v>Weighing Drift</v>
      </c>
      <c r="BP30" s="24"/>
      <c r="BQ30" s="24"/>
      <c r="BR30" s="24"/>
      <c r="BS30" s="24"/>
      <c r="BT30" s="24"/>
      <c r="BU30" s="24"/>
      <c r="BV30" s="24"/>
      <c r="BW30" s="24"/>
      <c r="BX30" s="24"/>
      <c r="BY30" s="24"/>
      <c r="BZ30" s="24"/>
      <c r="CA30" s="24"/>
      <c r="CB30" s="25"/>
      <c r="CC30" s="26" t="str">
        <f>AR55</f>
        <v>g</v>
      </c>
      <c r="CD30" s="27"/>
      <c r="CE30" s="27"/>
      <c r="CF30" s="27"/>
      <c r="CG30" s="27"/>
      <c r="CH30" s="27"/>
      <c r="CI30" s="27"/>
      <c r="CJ30" s="28"/>
      <c r="CK30" s="26">
        <v>2.0000000000000001E-4</v>
      </c>
      <c r="CL30" s="27"/>
      <c r="CM30" s="27"/>
      <c r="CN30" s="27"/>
      <c r="CO30" s="27"/>
      <c r="CP30" s="27"/>
      <c r="CQ30" s="27"/>
      <c r="CR30" s="28"/>
      <c r="CS30" s="26" t="s">
        <v>53</v>
      </c>
      <c r="CT30" s="27"/>
      <c r="CU30" s="27"/>
      <c r="CV30" s="27"/>
      <c r="CW30" s="27"/>
      <c r="CX30" s="27"/>
      <c r="CY30" s="27"/>
      <c r="CZ30" s="28"/>
      <c r="DA30" s="29">
        <f t="shared" si="1"/>
        <v>1.155E-4</v>
      </c>
      <c r="DB30" s="30"/>
      <c r="DC30" s="30"/>
      <c r="DD30" s="30"/>
      <c r="DE30" s="30"/>
      <c r="DF30" s="30"/>
      <c r="DG30" s="30"/>
      <c r="DH30" s="30"/>
      <c r="DI30" s="30"/>
      <c r="DJ30" s="30"/>
      <c r="DK30" s="30"/>
      <c r="DL30" s="30"/>
      <c r="DM30" s="30"/>
      <c r="DN30" s="31"/>
    </row>
    <row r="31" spans="1:118" ht="12" customHeight="1" x14ac:dyDescent="0.2">
      <c r="BO31" s="23" t="str">
        <f>E55</f>
        <v>Weighing Drift</v>
      </c>
      <c r="BP31" s="24"/>
      <c r="BQ31" s="24"/>
      <c r="BR31" s="24"/>
      <c r="BS31" s="24"/>
      <c r="BT31" s="24"/>
      <c r="BU31" s="24"/>
      <c r="BV31" s="24"/>
      <c r="BW31" s="24"/>
      <c r="BX31" s="24"/>
      <c r="BY31" s="24"/>
      <c r="BZ31" s="24"/>
      <c r="CA31" s="24"/>
      <c r="CB31" s="25"/>
      <c r="CC31" s="26" t="str">
        <f>AR55</f>
        <v>g</v>
      </c>
      <c r="CD31" s="27"/>
      <c r="CE31" s="27"/>
      <c r="CF31" s="27"/>
      <c r="CG31" s="27"/>
      <c r="CH31" s="27"/>
      <c r="CI31" s="27"/>
      <c r="CJ31" s="28"/>
      <c r="CK31" s="26">
        <v>5.0000000000000001E-4</v>
      </c>
      <c r="CL31" s="27"/>
      <c r="CM31" s="27"/>
      <c r="CN31" s="27"/>
      <c r="CO31" s="27"/>
      <c r="CP31" s="27"/>
      <c r="CQ31" s="27"/>
      <c r="CR31" s="28"/>
      <c r="CS31" s="26" t="s">
        <v>53</v>
      </c>
      <c r="CT31" s="27"/>
      <c r="CU31" s="27"/>
      <c r="CV31" s="27"/>
      <c r="CW31" s="27"/>
      <c r="CX31" s="27"/>
      <c r="CY31" s="27"/>
      <c r="CZ31" s="28"/>
      <c r="DA31" s="29">
        <f t="shared" si="1"/>
        <v>2.8870000000000002E-4</v>
      </c>
      <c r="DB31" s="30"/>
      <c r="DC31" s="30"/>
      <c r="DD31" s="30"/>
      <c r="DE31" s="30"/>
      <c r="DF31" s="30"/>
      <c r="DG31" s="30"/>
      <c r="DH31" s="30"/>
      <c r="DI31" s="30"/>
      <c r="DJ31" s="30"/>
      <c r="DK31" s="30"/>
      <c r="DL31" s="30"/>
      <c r="DM31" s="30"/>
      <c r="DN31" s="31"/>
    </row>
    <row r="32" spans="1:118" ht="12" customHeight="1" x14ac:dyDescent="0.2">
      <c r="BO32" s="23" t="str">
        <f>E57</f>
        <v>Crucible Stability</v>
      </c>
      <c r="BP32" s="24"/>
      <c r="BQ32" s="24"/>
      <c r="BR32" s="24"/>
      <c r="BS32" s="24"/>
      <c r="BT32" s="24"/>
      <c r="BU32" s="24"/>
      <c r="BV32" s="24"/>
      <c r="BW32" s="24"/>
      <c r="BX32" s="24"/>
      <c r="BY32" s="24"/>
      <c r="BZ32" s="24"/>
      <c r="CA32" s="24"/>
      <c r="CB32" s="25"/>
      <c r="CC32" s="26" t="str">
        <f>AR57</f>
        <v>g</v>
      </c>
      <c r="CD32" s="27"/>
      <c r="CE32" s="27"/>
      <c r="CF32" s="27"/>
      <c r="CG32" s="27"/>
      <c r="CH32" s="27"/>
      <c r="CI32" s="27"/>
      <c r="CJ32" s="28"/>
      <c r="CK32" s="26">
        <v>0.1</v>
      </c>
      <c r="CL32" s="27"/>
      <c r="CM32" s="27"/>
      <c r="CN32" s="27"/>
      <c r="CO32" s="27"/>
      <c r="CP32" s="27"/>
      <c r="CQ32" s="27"/>
      <c r="CR32" s="28"/>
      <c r="CS32" s="26" t="s">
        <v>53</v>
      </c>
      <c r="CT32" s="27"/>
      <c r="CU32" s="27"/>
      <c r="CV32" s="27"/>
      <c r="CW32" s="27"/>
      <c r="CX32" s="27"/>
      <c r="CY32" s="27"/>
      <c r="CZ32" s="28"/>
      <c r="DA32" s="29">
        <f t="shared" si="1"/>
        <v>5.7735000000000002E-2</v>
      </c>
      <c r="DB32" s="30"/>
      <c r="DC32" s="30"/>
      <c r="DD32" s="30"/>
      <c r="DE32" s="30"/>
      <c r="DF32" s="30"/>
      <c r="DG32" s="30"/>
      <c r="DH32" s="30"/>
      <c r="DI32" s="30"/>
      <c r="DJ32" s="30"/>
      <c r="DK32" s="30"/>
      <c r="DL32" s="30"/>
      <c r="DM32" s="30"/>
      <c r="DN32" s="31"/>
    </row>
    <row r="33" spans="1:118" ht="12" customHeight="1" x14ac:dyDescent="0.2">
      <c r="BO33" s="23" t="s">
        <v>133</v>
      </c>
      <c r="BP33" s="24"/>
      <c r="BQ33" s="24"/>
      <c r="BR33" s="24"/>
      <c r="BS33" s="24"/>
      <c r="BT33" s="24"/>
      <c r="BU33" s="24"/>
      <c r="BV33" s="24"/>
      <c r="BW33" s="24"/>
      <c r="BX33" s="24"/>
      <c r="BY33" s="24"/>
      <c r="BZ33" s="24"/>
      <c r="CA33" s="24"/>
      <c r="CB33" s="25"/>
      <c r="CC33" s="26" t="s">
        <v>134</v>
      </c>
      <c r="CD33" s="27"/>
      <c r="CE33" s="27"/>
      <c r="CF33" s="27"/>
      <c r="CG33" s="27"/>
      <c r="CH33" s="27"/>
      <c r="CI33" s="27"/>
      <c r="CJ33" s="28"/>
      <c r="CK33" s="26">
        <v>2</v>
      </c>
      <c r="CL33" s="27"/>
      <c r="CM33" s="27"/>
      <c r="CN33" s="27"/>
      <c r="CO33" s="27"/>
      <c r="CP33" s="27"/>
      <c r="CQ33" s="27"/>
      <c r="CR33" s="28"/>
      <c r="CS33" s="26" t="s">
        <v>53</v>
      </c>
      <c r="CT33" s="27"/>
      <c r="CU33" s="27"/>
      <c r="CV33" s="27"/>
      <c r="CW33" s="27"/>
      <c r="CX33" s="27"/>
      <c r="CY33" s="27"/>
      <c r="CZ33" s="28"/>
      <c r="DA33" s="29">
        <f t="shared" si="1"/>
        <v>1.1547004999999999</v>
      </c>
      <c r="DB33" s="30"/>
      <c r="DC33" s="30"/>
      <c r="DD33" s="30"/>
      <c r="DE33" s="30"/>
      <c r="DF33" s="30"/>
      <c r="DG33" s="30"/>
      <c r="DH33" s="30"/>
      <c r="DI33" s="30"/>
      <c r="DJ33" s="30"/>
      <c r="DK33" s="30"/>
      <c r="DL33" s="30"/>
      <c r="DM33" s="30"/>
      <c r="DN33" s="31"/>
    </row>
    <row r="34" spans="1:118" ht="12" customHeight="1" x14ac:dyDescent="0.2">
      <c r="BO34" s="23" t="s">
        <v>135</v>
      </c>
      <c r="BP34" s="24"/>
      <c r="BQ34" s="24"/>
      <c r="BR34" s="24"/>
      <c r="BS34" s="24"/>
      <c r="BT34" s="24"/>
      <c r="BU34" s="24"/>
      <c r="BV34" s="24"/>
      <c r="BW34" s="24"/>
      <c r="BX34" s="24"/>
      <c r="BY34" s="24"/>
      <c r="BZ34" s="24"/>
      <c r="CA34" s="24"/>
      <c r="CB34" s="25"/>
      <c r="CC34" s="26" t="s">
        <v>26</v>
      </c>
      <c r="CD34" s="27"/>
      <c r="CE34" s="27"/>
      <c r="CF34" s="27"/>
      <c r="CG34" s="27"/>
      <c r="CH34" s="27"/>
      <c r="CI34" s="27"/>
      <c r="CJ34" s="28"/>
      <c r="CK34" s="26">
        <v>0.1</v>
      </c>
      <c r="CL34" s="27"/>
      <c r="CM34" s="27"/>
      <c r="CN34" s="27"/>
      <c r="CO34" s="27"/>
      <c r="CP34" s="27"/>
      <c r="CQ34" s="27"/>
      <c r="CR34" s="28"/>
      <c r="CS34" s="26" t="s">
        <v>53</v>
      </c>
      <c r="CT34" s="27"/>
      <c r="CU34" s="27"/>
      <c r="CV34" s="27"/>
      <c r="CW34" s="27"/>
      <c r="CX34" s="27"/>
      <c r="CY34" s="27"/>
      <c r="CZ34" s="28"/>
      <c r="DA34" s="29">
        <f t="shared" si="1"/>
        <v>5.7735000000000002E-2</v>
      </c>
      <c r="DB34" s="30"/>
      <c r="DC34" s="30"/>
      <c r="DD34" s="30"/>
      <c r="DE34" s="30"/>
      <c r="DF34" s="30"/>
      <c r="DG34" s="30"/>
      <c r="DH34" s="30"/>
      <c r="DI34" s="30"/>
      <c r="DJ34" s="30"/>
      <c r="DK34" s="30"/>
      <c r="DL34" s="30"/>
      <c r="DM34" s="30"/>
      <c r="DN34" s="31"/>
    </row>
    <row r="35" spans="1:118" ht="12" customHeight="1" x14ac:dyDescent="0.2"/>
    <row r="36" spans="1:118" ht="12" customHeight="1" x14ac:dyDescent="0.25">
      <c r="BL36" s="53" t="s">
        <v>52</v>
      </c>
      <c r="BM36" s="53"/>
      <c r="BN36" s="53"/>
      <c r="BO36" s="53" t="s">
        <v>138</v>
      </c>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row>
    <row r="37" spans="1:118" ht="12" customHeight="1" x14ac:dyDescent="0.2">
      <c r="BO37" s="51" t="s">
        <v>51</v>
      </c>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row>
    <row r="38" spans="1:118" ht="12" customHeight="1" x14ac:dyDescent="0.2">
      <c r="BP38" s="7"/>
      <c r="BQ38" s="7"/>
      <c r="BR38" s="7"/>
      <c r="BS38" s="18"/>
      <c r="BT38" s="18"/>
      <c r="BU38" s="18"/>
      <c r="BV38" s="18"/>
      <c r="BW38" s="18"/>
      <c r="BX38" s="18"/>
      <c r="BY38" s="19"/>
      <c r="BZ38" s="19"/>
      <c r="CA38" s="9" t="s">
        <v>137</v>
      </c>
      <c r="CB38" s="32" t="str" cm="1">
        <f t="array" ref="CB38">IFERROR(ROUND(SQRT(SUM(POWER(DA28:DA34,2))),3),"--")</f>
        <v>--</v>
      </c>
      <c r="CC38" s="32"/>
      <c r="CD38" s="32"/>
      <c r="CE38" s="32"/>
      <c r="CF38" s="32"/>
      <c r="CG38" s="32"/>
      <c r="CH38" s="8"/>
      <c r="CI38" s="8"/>
      <c r="CJ38" s="8"/>
      <c r="CK38" s="8"/>
      <c r="CL38" s="8"/>
      <c r="CM38" s="8"/>
      <c r="CN38" s="8"/>
      <c r="CO38" s="7"/>
      <c r="CP38" s="7"/>
      <c r="CQ38" s="7"/>
      <c r="CR38" s="7"/>
      <c r="CS38" s="7"/>
      <c r="CT38" s="7"/>
      <c r="CU38" s="7"/>
      <c r="CV38" s="7"/>
      <c r="CW38" s="7"/>
      <c r="CX38" s="7"/>
      <c r="CY38" s="7"/>
      <c r="CZ38" s="7"/>
    </row>
    <row r="39" spans="1:118" ht="12" customHeight="1" x14ac:dyDescent="0.2"/>
    <row r="40" spans="1:118" ht="12" customHeight="1" x14ac:dyDescent="0.2">
      <c r="BL40" s="53" t="s">
        <v>50</v>
      </c>
      <c r="BM40" s="53"/>
      <c r="BN40" s="53"/>
      <c r="BO40" s="53" t="s">
        <v>139</v>
      </c>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row>
    <row r="41" spans="1:118" ht="12" customHeight="1" x14ac:dyDescent="0.2">
      <c r="BO41" s="51" t="s">
        <v>49</v>
      </c>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row>
    <row r="42" spans="1:118" ht="12" customHeight="1" x14ac:dyDescent="0.25">
      <c r="BT42" s="6" t="s">
        <v>48</v>
      </c>
      <c r="BU42" s="32" t="str">
        <f>IFERROR(CA38*2,"--")</f>
        <v>--</v>
      </c>
      <c r="BV42" s="32"/>
      <c r="BW42" s="32"/>
      <c r="BX42" s="32"/>
      <c r="BY42" s="32"/>
      <c r="BZ42" s="32"/>
    </row>
    <row r="43" spans="1:118" ht="12" customHeight="1" x14ac:dyDescent="0.2">
      <c r="A43" s="4"/>
      <c r="B43" s="4"/>
      <c r="C43" s="52" t="str">
        <f>"5."</f>
        <v>5.</v>
      </c>
      <c r="D43" s="52"/>
      <c r="E43" s="52" t="s">
        <v>46</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4"/>
    </row>
    <row r="44" spans="1:118" ht="12" customHeight="1" x14ac:dyDescent="0.2">
      <c r="E44" s="47" t="s">
        <v>106</v>
      </c>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J44" s="52" t="str">
        <f>"8."</f>
        <v>8.</v>
      </c>
      <c r="BK44" s="52"/>
      <c r="BL44" s="52" t="s">
        <v>47</v>
      </c>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row>
    <row r="45" spans="1:118" ht="12" customHeight="1" x14ac:dyDescent="0.2">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L45" s="49" t="s">
        <v>45</v>
      </c>
      <c r="BM45" s="49"/>
      <c r="BN45" s="49"/>
      <c r="BO45" s="49"/>
      <c r="BP45" s="49"/>
      <c r="BQ45" s="49"/>
      <c r="BR45" s="49"/>
      <c r="BS45" s="49"/>
      <c r="BT45" s="49"/>
      <c r="BU45" s="49"/>
      <c r="BV45" s="49"/>
      <c r="BW45" s="49"/>
      <c r="BX45" s="49"/>
      <c r="BY45" s="49"/>
      <c r="BZ45" s="49"/>
      <c r="CA45" s="49"/>
      <c r="CB45" s="49"/>
      <c r="CC45" s="49"/>
      <c r="CD45" s="49"/>
      <c r="CE45" s="49"/>
      <c r="CF45" s="49"/>
      <c r="CG45" s="49" t="s">
        <v>44</v>
      </c>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row>
    <row r="46" spans="1:118" ht="12" customHeight="1" x14ac:dyDescent="0.2">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L46" s="43" t="s">
        <v>42</v>
      </c>
      <c r="BM46" s="43"/>
      <c r="BN46" s="43"/>
      <c r="BO46" s="43"/>
      <c r="BP46" s="43"/>
      <c r="BQ46" s="43"/>
      <c r="BR46" s="43"/>
      <c r="BS46" s="43"/>
      <c r="BT46" s="43"/>
      <c r="BU46" s="43"/>
      <c r="BV46" s="43"/>
      <c r="BW46" s="43"/>
      <c r="BX46" s="43"/>
      <c r="BY46" s="43"/>
      <c r="BZ46" s="43"/>
      <c r="CA46" s="43"/>
      <c r="CB46" s="43"/>
      <c r="CC46" s="43"/>
      <c r="CD46" s="43"/>
      <c r="CE46" s="43"/>
      <c r="CF46" s="43"/>
      <c r="CG46" s="45" t="s">
        <v>116</v>
      </c>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row>
    <row r="47" spans="1:118" ht="12" customHeight="1" x14ac:dyDescent="0.2">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L47" s="43" t="s">
        <v>41</v>
      </c>
      <c r="BM47" s="43"/>
      <c r="BN47" s="43"/>
      <c r="BO47" s="43"/>
      <c r="BP47" s="43"/>
      <c r="BQ47" s="43"/>
      <c r="BR47" s="43"/>
      <c r="BS47" s="43"/>
      <c r="BT47" s="43"/>
      <c r="BU47" s="43"/>
      <c r="BV47" s="43"/>
      <c r="BW47" s="43"/>
      <c r="BX47" s="43"/>
      <c r="BY47" s="43"/>
      <c r="BZ47" s="43"/>
      <c r="CA47" s="43"/>
      <c r="CB47" s="43"/>
      <c r="CC47" s="43"/>
      <c r="CD47" s="43"/>
      <c r="CE47" s="43"/>
      <c r="CF47" s="43"/>
      <c r="CG47" s="45" t="str">
        <f>" %"</f>
        <v xml:space="preserve"> %</v>
      </c>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row>
    <row r="48" spans="1:118" ht="12" customHeight="1" x14ac:dyDescent="0.2">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L48" s="43" t="s">
        <v>40</v>
      </c>
      <c r="BM48" s="43"/>
      <c r="BN48" s="43"/>
      <c r="BO48" s="43"/>
      <c r="BP48" s="43"/>
      <c r="BQ48" s="43"/>
      <c r="BR48" s="43"/>
      <c r="BS48" s="43"/>
      <c r="BT48" s="43"/>
      <c r="BU48" s="43"/>
      <c r="BV48" s="43"/>
      <c r="BW48" s="43"/>
      <c r="BX48" s="43"/>
      <c r="BY48" s="43"/>
      <c r="BZ48" s="43"/>
      <c r="CA48" s="43"/>
      <c r="CB48" s="43"/>
      <c r="CC48" s="43"/>
      <c r="CD48" s="43"/>
      <c r="CE48" s="43"/>
      <c r="CF48" s="43"/>
      <c r="CG48" s="45" t="str">
        <f>" "&amp;COUNTA(BO14:BO23)</f>
        <v xml:space="preserve"> 10</v>
      </c>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row>
    <row r="49" spans="1:120" ht="12" customHeight="1" x14ac:dyDescent="0.2">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L49" s="43" t="s">
        <v>118</v>
      </c>
      <c r="BM49" s="43"/>
      <c r="BN49" s="43"/>
      <c r="BO49" s="43"/>
      <c r="BP49" s="43"/>
      <c r="BQ49" s="43"/>
      <c r="BR49" s="43"/>
      <c r="BS49" s="43"/>
      <c r="BT49" s="43"/>
      <c r="BU49" s="43"/>
      <c r="BV49" s="43"/>
      <c r="BW49" s="43"/>
      <c r="BX49" s="43"/>
      <c r="BY49" s="43"/>
      <c r="BZ49" s="43"/>
      <c r="CA49" s="43"/>
      <c r="CB49" s="43"/>
      <c r="CC49" s="43"/>
      <c r="CD49" s="43"/>
      <c r="CE49" s="43"/>
      <c r="CF49" s="43"/>
      <c r="CG49" s="45" t="str">
        <f>" "&amp;DB24&amp;CG47</f>
        <v xml:space="preserve"> -- %</v>
      </c>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row>
    <row r="50" spans="1:120" ht="12" customHeight="1" x14ac:dyDescent="0.2">
      <c r="E50" s="48" t="s">
        <v>35</v>
      </c>
      <c r="F50" s="49"/>
      <c r="G50" s="49"/>
      <c r="H50" s="49"/>
      <c r="I50" s="49"/>
      <c r="J50" s="49"/>
      <c r="K50" s="49"/>
      <c r="L50" s="49"/>
      <c r="M50" s="49"/>
      <c r="N50" s="49"/>
      <c r="O50" s="49"/>
      <c r="P50" s="49"/>
      <c r="Q50" s="49"/>
      <c r="R50" s="49"/>
      <c r="S50" s="49" t="s">
        <v>34</v>
      </c>
      <c r="T50" s="49"/>
      <c r="U50" s="49"/>
      <c r="V50" s="49"/>
      <c r="W50" s="49"/>
      <c r="X50" s="49"/>
      <c r="Y50" s="49"/>
      <c r="Z50" s="49"/>
      <c r="AA50" s="49"/>
      <c r="AB50" s="49"/>
      <c r="AC50" s="49"/>
      <c r="AD50" s="49"/>
      <c r="AE50" s="49"/>
      <c r="AF50" s="49"/>
      <c r="AG50" s="49"/>
      <c r="AH50" s="49"/>
      <c r="AI50" s="49"/>
      <c r="AJ50" s="49"/>
      <c r="AK50" s="49" t="s">
        <v>33</v>
      </c>
      <c r="AL50" s="49"/>
      <c r="AM50" s="49"/>
      <c r="AN50" s="49"/>
      <c r="AO50" s="49"/>
      <c r="AP50" s="49"/>
      <c r="AQ50" s="49"/>
      <c r="AR50" s="49" t="s">
        <v>32</v>
      </c>
      <c r="AS50" s="49"/>
      <c r="AT50" s="49"/>
      <c r="AU50" s="49"/>
      <c r="AV50" s="49"/>
      <c r="AW50" s="49"/>
      <c r="AX50" s="49"/>
      <c r="AY50" s="49" t="s">
        <v>31</v>
      </c>
      <c r="AZ50" s="49"/>
      <c r="BA50" s="49"/>
      <c r="BB50" s="49"/>
      <c r="BC50" s="49"/>
      <c r="BD50" s="49"/>
      <c r="BE50" s="49"/>
      <c r="BF50" s="49"/>
      <c r="BG50" s="49"/>
      <c r="BL50" s="43" t="s">
        <v>38</v>
      </c>
      <c r="BM50" s="43"/>
      <c r="BN50" s="43"/>
      <c r="BO50" s="43"/>
      <c r="BP50" s="43"/>
      <c r="BQ50" s="43"/>
      <c r="BR50" s="43"/>
      <c r="BS50" s="43"/>
      <c r="BT50" s="43"/>
      <c r="BU50" s="43"/>
      <c r="BV50" s="43"/>
      <c r="BW50" s="43"/>
      <c r="BX50" s="43"/>
      <c r="BY50" s="43"/>
      <c r="BZ50" s="43"/>
      <c r="CA50" s="43"/>
      <c r="CB50" s="43"/>
      <c r="CC50" s="43"/>
      <c r="CD50" s="43"/>
      <c r="CE50" s="43"/>
      <c r="CF50" s="43"/>
      <c r="CG50" s="45" t="str">
        <f>" "&amp;CA38</f>
        <v xml:space="preserve"> uc = Öu12+u22+u32+…+ ui2  =</v>
      </c>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row>
    <row r="51" spans="1:120" ht="12" customHeight="1" x14ac:dyDescent="0.2">
      <c r="E51" s="40" t="s">
        <v>29</v>
      </c>
      <c r="F51" s="40"/>
      <c r="G51" s="40"/>
      <c r="H51" s="40"/>
      <c r="I51" s="40"/>
      <c r="J51" s="40"/>
      <c r="K51" s="40"/>
      <c r="L51" s="40"/>
      <c r="M51" s="40"/>
      <c r="N51" s="40"/>
      <c r="O51" s="40"/>
      <c r="P51" s="40"/>
      <c r="Q51" s="40"/>
      <c r="R51" s="40"/>
      <c r="S51" s="41" t="s">
        <v>28</v>
      </c>
      <c r="T51" s="41"/>
      <c r="U51" s="41"/>
      <c r="V51" s="41"/>
      <c r="W51" s="41"/>
      <c r="X51" s="41"/>
      <c r="Y51" s="41"/>
      <c r="Z51" s="41"/>
      <c r="AA51" s="41"/>
      <c r="AB51" s="41"/>
      <c r="AC51" s="41"/>
      <c r="AD51" s="41"/>
      <c r="AE51" s="41"/>
      <c r="AF51" s="41"/>
      <c r="AG51" s="41"/>
      <c r="AH51" s="41"/>
      <c r="AI51" s="41"/>
      <c r="AJ51" s="41"/>
      <c r="AK51" s="42" t="s">
        <v>27</v>
      </c>
      <c r="AL51" s="42"/>
      <c r="AM51" s="42"/>
      <c r="AN51" s="42"/>
      <c r="AO51" s="42"/>
      <c r="AP51" s="42"/>
      <c r="AQ51" s="42"/>
      <c r="AR51" s="42" t="s">
        <v>26</v>
      </c>
      <c r="AS51" s="42"/>
      <c r="AT51" s="42"/>
      <c r="AU51" s="42"/>
      <c r="AV51" s="42"/>
      <c r="AW51" s="42"/>
      <c r="AX51" s="42"/>
      <c r="AY51" s="42" t="s">
        <v>25</v>
      </c>
      <c r="AZ51" s="42"/>
      <c r="BA51" s="42"/>
      <c r="BB51" s="42"/>
      <c r="BC51" s="42"/>
      <c r="BD51" s="42"/>
      <c r="BE51" s="42"/>
      <c r="BF51" s="42"/>
      <c r="BG51" s="42"/>
      <c r="BL51" s="43" t="s">
        <v>37</v>
      </c>
      <c r="BM51" s="43"/>
      <c r="BN51" s="43"/>
      <c r="BO51" s="43"/>
      <c r="BP51" s="43"/>
      <c r="BQ51" s="43"/>
      <c r="BR51" s="43"/>
      <c r="BS51" s="43"/>
      <c r="BT51" s="43"/>
      <c r="BU51" s="43"/>
      <c r="BV51" s="43"/>
      <c r="BW51" s="43"/>
      <c r="BX51" s="43"/>
      <c r="BY51" s="43"/>
      <c r="BZ51" s="43"/>
      <c r="CA51" s="43"/>
      <c r="CB51" s="43"/>
      <c r="CC51" s="43"/>
      <c r="CD51" s="43"/>
      <c r="CE51" s="43"/>
      <c r="CF51" s="43"/>
      <c r="CG51" s="45" t="s">
        <v>36</v>
      </c>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row>
    <row r="52" spans="1:120" ht="12" customHeight="1" x14ac:dyDescent="0.2">
      <c r="E52" s="40"/>
      <c r="F52" s="40"/>
      <c r="G52" s="40"/>
      <c r="H52" s="40"/>
      <c r="I52" s="40"/>
      <c r="J52" s="40"/>
      <c r="K52" s="40"/>
      <c r="L52" s="40"/>
      <c r="M52" s="40"/>
      <c r="N52" s="40"/>
      <c r="O52" s="40"/>
      <c r="P52" s="40"/>
      <c r="Q52" s="40"/>
      <c r="R52" s="40"/>
      <c r="S52" s="41"/>
      <c r="T52" s="41"/>
      <c r="U52" s="41"/>
      <c r="V52" s="41"/>
      <c r="W52" s="41"/>
      <c r="X52" s="41"/>
      <c r="Y52" s="41"/>
      <c r="Z52" s="41"/>
      <c r="AA52" s="41"/>
      <c r="AB52" s="41"/>
      <c r="AC52" s="41"/>
      <c r="AD52" s="41"/>
      <c r="AE52" s="41"/>
      <c r="AF52" s="41"/>
      <c r="AG52" s="41"/>
      <c r="AH52" s="41"/>
      <c r="AI52" s="41"/>
      <c r="AJ52" s="41"/>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L52" s="43" t="s">
        <v>30</v>
      </c>
      <c r="BM52" s="43"/>
      <c r="BN52" s="43"/>
      <c r="BO52" s="43"/>
      <c r="BP52" s="43"/>
      <c r="BQ52" s="43"/>
      <c r="BR52" s="43"/>
      <c r="BS52" s="43"/>
      <c r="BT52" s="43"/>
      <c r="BU52" s="43"/>
      <c r="BV52" s="43"/>
      <c r="BW52" s="43"/>
      <c r="BX52" s="43"/>
      <c r="BY52" s="43"/>
      <c r="BZ52" s="43"/>
      <c r="CA52" s="43"/>
      <c r="CB52" s="43"/>
      <c r="CC52" s="43"/>
      <c r="CD52" s="43"/>
      <c r="CE52" s="43"/>
      <c r="CF52" s="43"/>
      <c r="CG52" s="45" t="str">
        <f>" "&amp;BU42</f>
        <v xml:space="preserve"> --</v>
      </c>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row>
    <row r="53" spans="1:120" ht="12" customHeight="1" x14ac:dyDescent="0.2">
      <c r="E53" s="40" t="s">
        <v>20</v>
      </c>
      <c r="F53" s="40"/>
      <c r="G53" s="40"/>
      <c r="H53" s="40"/>
      <c r="I53" s="40"/>
      <c r="J53" s="40"/>
      <c r="K53" s="40"/>
      <c r="L53" s="40"/>
      <c r="M53" s="40"/>
      <c r="N53" s="40"/>
      <c r="O53" s="40"/>
      <c r="P53" s="40"/>
      <c r="Q53" s="40"/>
      <c r="R53" s="40"/>
      <c r="S53" s="41" t="s">
        <v>19</v>
      </c>
      <c r="T53" s="41"/>
      <c r="U53" s="41"/>
      <c r="V53" s="41"/>
      <c r="W53" s="41"/>
      <c r="X53" s="41"/>
      <c r="Y53" s="41"/>
      <c r="Z53" s="41"/>
      <c r="AA53" s="41"/>
      <c r="AB53" s="41"/>
      <c r="AC53" s="41"/>
      <c r="AD53" s="41"/>
      <c r="AE53" s="41"/>
      <c r="AF53" s="41"/>
      <c r="AG53" s="41"/>
      <c r="AH53" s="41"/>
      <c r="AI53" s="41"/>
      <c r="AJ53" s="41"/>
      <c r="AK53" s="42" t="s">
        <v>7</v>
      </c>
      <c r="AL53" s="42"/>
      <c r="AM53" s="42"/>
      <c r="AN53" s="42"/>
      <c r="AO53" s="42"/>
      <c r="AP53" s="42"/>
      <c r="AQ53" s="42"/>
      <c r="AR53" s="42" t="s">
        <v>10</v>
      </c>
      <c r="AS53" s="42"/>
      <c r="AT53" s="42"/>
      <c r="AU53" s="42"/>
      <c r="AV53" s="42"/>
      <c r="AW53" s="42"/>
      <c r="AX53" s="42"/>
      <c r="AY53" s="42" t="s">
        <v>5</v>
      </c>
      <c r="AZ53" s="42"/>
      <c r="BA53" s="42"/>
      <c r="BB53" s="42"/>
      <c r="BC53" s="42"/>
      <c r="BD53" s="42"/>
      <c r="BE53" s="42"/>
      <c r="BF53" s="42"/>
      <c r="BG53" s="42"/>
      <c r="BL53" s="43" t="s">
        <v>24</v>
      </c>
      <c r="BM53" s="43"/>
      <c r="BN53" s="43"/>
      <c r="BO53" s="43"/>
      <c r="BP53" s="43"/>
      <c r="BQ53" s="43"/>
      <c r="BR53" s="43"/>
      <c r="BS53" s="43"/>
      <c r="BT53" s="43"/>
      <c r="BU53" s="43"/>
      <c r="BV53" s="43"/>
      <c r="BW53" s="43"/>
      <c r="BX53" s="43"/>
      <c r="BY53" s="43"/>
      <c r="BZ53" s="43"/>
      <c r="CA53" s="43"/>
      <c r="CB53" s="43"/>
      <c r="CC53" s="43"/>
      <c r="CD53" s="43"/>
      <c r="CE53" s="43"/>
      <c r="CF53" s="43"/>
      <c r="CG53" s="45" t="s">
        <v>23</v>
      </c>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row>
    <row r="54" spans="1:120" ht="12" customHeight="1" x14ac:dyDescent="0.2">
      <c r="E54" s="40"/>
      <c r="F54" s="40"/>
      <c r="G54" s="40"/>
      <c r="H54" s="40"/>
      <c r="I54" s="40"/>
      <c r="J54" s="40"/>
      <c r="K54" s="40"/>
      <c r="L54" s="40"/>
      <c r="M54" s="40"/>
      <c r="N54" s="40"/>
      <c r="O54" s="40"/>
      <c r="P54" s="40"/>
      <c r="Q54" s="40"/>
      <c r="R54" s="40"/>
      <c r="S54" s="41"/>
      <c r="T54" s="41"/>
      <c r="U54" s="41"/>
      <c r="V54" s="41"/>
      <c r="W54" s="41"/>
      <c r="X54" s="41"/>
      <c r="Y54" s="41"/>
      <c r="Z54" s="41"/>
      <c r="AA54" s="41"/>
      <c r="AB54" s="41"/>
      <c r="AC54" s="41"/>
      <c r="AD54" s="41"/>
      <c r="AE54" s="41"/>
      <c r="AF54" s="41"/>
      <c r="AG54" s="41"/>
      <c r="AH54" s="41"/>
      <c r="AI54" s="41"/>
      <c r="AJ54" s="41"/>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L54" s="43" t="s">
        <v>22</v>
      </c>
      <c r="BM54" s="43"/>
      <c r="BN54" s="43"/>
      <c r="BO54" s="43"/>
      <c r="BP54" s="43"/>
      <c r="BQ54" s="43"/>
      <c r="BR54" s="43"/>
      <c r="BS54" s="43"/>
      <c r="BT54" s="43"/>
      <c r="BU54" s="43"/>
      <c r="BV54" s="43"/>
      <c r="BW54" s="43"/>
      <c r="BX54" s="43"/>
      <c r="BY54" s="43"/>
      <c r="BZ54" s="43"/>
      <c r="CA54" s="43"/>
      <c r="CB54" s="43"/>
      <c r="CC54" s="43"/>
      <c r="CD54" s="43"/>
      <c r="CE54" s="43"/>
      <c r="CF54" s="43"/>
      <c r="CG54" s="45" t="s">
        <v>21</v>
      </c>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row>
    <row r="55" spans="1:120" ht="12" customHeight="1" x14ac:dyDescent="0.2">
      <c r="E55" s="40" t="s">
        <v>16</v>
      </c>
      <c r="F55" s="40"/>
      <c r="G55" s="40"/>
      <c r="H55" s="40"/>
      <c r="I55" s="40"/>
      <c r="J55" s="40"/>
      <c r="K55" s="40"/>
      <c r="L55" s="40"/>
      <c r="M55" s="40"/>
      <c r="N55" s="40"/>
      <c r="O55" s="40"/>
      <c r="P55" s="40"/>
      <c r="Q55" s="40"/>
      <c r="R55" s="40"/>
      <c r="S55" s="41" t="s">
        <v>15</v>
      </c>
      <c r="T55" s="41"/>
      <c r="U55" s="41"/>
      <c r="V55" s="41"/>
      <c r="W55" s="41"/>
      <c r="X55" s="41"/>
      <c r="Y55" s="41"/>
      <c r="Z55" s="41"/>
      <c r="AA55" s="41"/>
      <c r="AB55" s="41"/>
      <c r="AC55" s="41"/>
      <c r="AD55" s="41"/>
      <c r="AE55" s="41"/>
      <c r="AF55" s="41"/>
      <c r="AG55" s="41"/>
      <c r="AH55" s="41"/>
      <c r="AI55" s="41"/>
      <c r="AJ55" s="41"/>
      <c r="AK55" s="42" t="s">
        <v>7</v>
      </c>
      <c r="AL55" s="42"/>
      <c r="AM55" s="42"/>
      <c r="AN55" s="42"/>
      <c r="AO55" s="42"/>
      <c r="AP55" s="42"/>
      <c r="AQ55" s="42"/>
      <c r="AR55" s="42" t="s">
        <v>10</v>
      </c>
      <c r="AS55" s="42"/>
      <c r="AT55" s="42"/>
      <c r="AU55" s="42"/>
      <c r="AV55" s="42"/>
      <c r="AW55" s="42"/>
      <c r="AX55" s="42"/>
      <c r="AY55" s="42" t="s">
        <v>5</v>
      </c>
      <c r="AZ55" s="42"/>
      <c r="BA55" s="42"/>
      <c r="BB55" s="42"/>
      <c r="BC55" s="42"/>
      <c r="BD55" s="42"/>
      <c r="BE55" s="42"/>
      <c r="BF55" s="42"/>
      <c r="BG55" s="42"/>
      <c r="BL55" s="43" t="s">
        <v>119</v>
      </c>
      <c r="BM55" s="43"/>
      <c r="BN55" s="43"/>
      <c r="BO55" s="43"/>
      <c r="BP55" s="43"/>
      <c r="BQ55" s="43"/>
      <c r="BR55" s="43"/>
      <c r="BS55" s="43"/>
      <c r="BT55" s="43"/>
      <c r="BU55" s="43"/>
      <c r="BV55" s="43"/>
      <c r="BW55" s="43"/>
      <c r="BX55" s="43"/>
      <c r="BY55" s="43"/>
      <c r="BZ55" s="43"/>
      <c r="CA55" s="43"/>
      <c r="CB55" s="43"/>
      <c r="CC55" s="43"/>
      <c r="CD55" s="43"/>
      <c r="CE55" s="43"/>
      <c r="CF55" s="43"/>
      <c r="CG55" s="45" t="str">
        <f>" "&amp;DB24&amp;" ±"&amp;CG52&amp;" %"</f>
        <v xml:space="preserve"> -- ± -- %</v>
      </c>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row>
    <row r="56" spans="1:120" ht="12" customHeight="1" x14ac:dyDescent="0.2">
      <c r="E56" s="40"/>
      <c r="F56" s="40"/>
      <c r="G56" s="40"/>
      <c r="H56" s="40"/>
      <c r="I56" s="40"/>
      <c r="J56" s="40"/>
      <c r="K56" s="40"/>
      <c r="L56" s="40"/>
      <c r="M56" s="40"/>
      <c r="N56" s="40"/>
      <c r="O56" s="40"/>
      <c r="P56" s="40"/>
      <c r="Q56" s="40"/>
      <c r="R56" s="40"/>
      <c r="S56" s="41"/>
      <c r="T56" s="41"/>
      <c r="U56" s="41"/>
      <c r="V56" s="41"/>
      <c r="W56" s="41"/>
      <c r="X56" s="41"/>
      <c r="Y56" s="41"/>
      <c r="Z56" s="41"/>
      <c r="AA56" s="41"/>
      <c r="AB56" s="41"/>
      <c r="AC56" s="41"/>
      <c r="AD56" s="41"/>
      <c r="AE56" s="41"/>
      <c r="AF56" s="41"/>
      <c r="AG56" s="41"/>
      <c r="AH56" s="41"/>
      <c r="AI56" s="41"/>
      <c r="AJ56" s="41"/>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L56" s="43" t="s">
        <v>17</v>
      </c>
      <c r="BM56" s="43"/>
      <c r="BN56" s="43"/>
      <c r="BO56" s="43"/>
      <c r="BP56" s="43"/>
      <c r="BQ56" s="43"/>
      <c r="BR56" s="43"/>
      <c r="BS56" s="43"/>
      <c r="BT56" s="43"/>
      <c r="BU56" s="43"/>
      <c r="BV56" s="43"/>
      <c r="BW56" s="43"/>
      <c r="BX56" s="43"/>
      <c r="BY56" s="43"/>
      <c r="BZ56" s="43"/>
      <c r="CA56" s="43"/>
      <c r="CB56" s="43"/>
      <c r="CC56" s="43"/>
      <c r="CD56" s="43"/>
      <c r="CE56" s="43"/>
      <c r="CF56" s="43"/>
      <c r="CG56" s="44" t="str">
        <f ca="1">" "&amp;TEXT(TODAY(),"dd mmmm, yyyy")</f>
        <v xml:space="preserve"> 12 March, 2026</v>
      </c>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row>
    <row r="57" spans="1:120" ht="12" customHeight="1" x14ac:dyDescent="0.2">
      <c r="E57" s="40" t="s">
        <v>12</v>
      </c>
      <c r="F57" s="40"/>
      <c r="G57" s="40"/>
      <c r="H57" s="40"/>
      <c r="I57" s="40"/>
      <c r="J57" s="40"/>
      <c r="K57" s="40"/>
      <c r="L57" s="40"/>
      <c r="M57" s="40"/>
      <c r="N57" s="40"/>
      <c r="O57" s="40"/>
      <c r="P57" s="40"/>
      <c r="Q57" s="40"/>
      <c r="R57" s="40"/>
      <c r="S57" s="41" t="s">
        <v>11</v>
      </c>
      <c r="T57" s="41"/>
      <c r="U57" s="41"/>
      <c r="V57" s="41"/>
      <c r="W57" s="41"/>
      <c r="X57" s="41"/>
      <c r="Y57" s="41"/>
      <c r="Z57" s="41"/>
      <c r="AA57" s="41"/>
      <c r="AB57" s="41"/>
      <c r="AC57" s="41"/>
      <c r="AD57" s="41"/>
      <c r="AE57" s="41"/>
      <c r="AF57" s="41"/>
      <c r="AG57" s="41"/>
      <c r="AH57" s="41"/>
      <c r="AI57" s="41"/>
      <c r="AJ57" s="41"/>
      <c r="AK57" s="42" t="s">
        <v>7</v>
      </c>
      <c r="AL57" s="42"/>
      <c r="AM57" s="42"/>
      <c r="AN57" s="42"/>
      <c r="AO57" s="42"/>
      <c r="AP57" s="42"/>
      <c r="AQ57" s="42"/>
      <c r="AR57" s="42" t="s">
        <v>10</v>
      </c>
      <c r="AS57" s="42"/>
      <c r="AT57" s="42"/>
      <c r="AU57" s="42"/>
      <c r="AV57" s="42"/>
      <c r="AW57" s="42"/>
      <c r="AX57" s="42"/>
      <c r="AY57" s="42" t="s">
        <v>5</v>
      </c>
      <c r="AZ57" s="42"/>
      <c r="BA57" s="42"/>
      <c r="BB57" s="42"/>
      <c r="BC57" s="42"/>
      <c r="BD57" s="42"/>
      <c r="BE57" s="42"/>
      <c r="BF57" s="42"/>
      <c r="BG57" s="42"/>
      <c r="BL57" s="43" t="s">
        <v>14</v>
      </c>
      <c r="BM57" s="43"/>
      <c r="BN57" s="43"/>
      <c r="BO57" s="43"/>
      <c r="BP57" s="43"/>
      <c r="BQ57" s="43"/>
      <c r="BR57" s="43"/>
      <c r="BS57" s="43"/>
      <c r="BT57" s="43"/>
      <c r="BU57" s="43"/>
      <c r="BV57" s="43"/>
      <c r="BW57" s="43"/>
      <c r="BX57" s="43"/>
      <c r="BY57" s="43"/>
      <c r="BZ57" s="43"/>
      <c r="CA57" s="43"/>
      <c r="CB57" s="43"/>
      <c r="CC57" s="43"/>
      <c r="CD57" s="43"/>
      <c r="CE57" s="43"/>
      <c r="CF57" s="43"/>
      <c r="CG57" s="45" t="s">
        <v>13</v>
      </c>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row>
    <row r="58" spans="1:120" ht="12" customHeight="1" x14ac:dyDescent="0.2">
      <c r="E58" s="40"/>
      <c r="F58" s="40"/>
      <c r="G58" s="40"/>
      <c r="H58" s="40"/>
      <c r="I58" s="40"/>
      <c r="J58" s="40"/>
      <c r="K58" s="40"/>
      <c r="L58" s="40"/>
      <c r="M58" s="40"/>
      <c r="N58" s="40"/>
      <c r="O58" s="40"/>
      <c r="P58" s="40"/>
      <c r="Q58" s="40"/>
      <c r="R58" s="40"/>
      <c r="S58" s="41"/>
      <c r="T58" s="41"/>
      <c r="U58" s="41"/>
      <c r="V58" s="41"/>
      <c r="W58" s="41"/>
      <c r="X58" s="41"/>
      <c r="Y58" s="41"/>
      <c r="Z58" s="41"/>
      <c r="AA58" s="41"/>
      <c r="AB58" s="41"/>
      <c r="AC58" s="41"/>
      <c r="AD58" s="41"/>
      <c r="AE58" s="41"/>
      <c r="AF58" s="41"/>
      <c r="AG58" s="41"/>
      <c r="AH58" s="41"/>
      <c r="AI58" s="41"/>
      <c r="AJ58" s="41"/>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L58" s="46" t="str">
        <f>"The measurement uncertainty for moisture content in coal was evaluated according to IS 1350 (Part 1): 2025 and NABL-141 (GUM) guidelines. The combined standard uncertainty was"&amp;CG50&amp;", and the expanded uncertainty (k = 2, 95% confidence) was ±"&amp;CG52&amp;" %."</f>
        <v>The measurement uncertainty for moisture content in coal was evaluated according to IS 1350 (Part 1): 2025 and NABL-141 (GUM) guidelines. The combined standard uncertainty was uc = Öu12+u22+u32+…+ ui2  =, and the expanded uncertainty (k = 2, 95% confidence) was ± -- %.</v>
      </c>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row>
    <row r="59" spans="1:120" ht="12" customHeight="1" x14ac:dyDescent="0.2">
      <c r="E59" s="40" t="s">
        <v>107</v>
      </c>
      <c r="F59" s="40"/>
      <c r="G59" s="40"/>
      <c r="H59" s="40"/>
      <c r="I59" s="40"/>
      <c r="J59" s="40"/>
      <c r="K59" s="40"/>
      <c r="L59" s="40"/>
      <c r="M59" s="40"/>
      <c r="N59" s="40"/>
      <c r="O59" s="40"/>
      <c r="P59" s="40"/>
      <c r="Q59" s="40"/>
      <c r="R59" s="40"/>
      <c r="S59" s="41" t="s">
        <v>108</v>
      </c>
      <c r="T59" s="41"/>
      <c r="U59" s="41"/>
      <c r="V59" s="41"/>
      <c r="W59" s="41"/>
      <c r="X59" s="41"/>
      <c r="Y59" s="41"/>
      <c r="Z59" s="41"/>
      <c r="AA59" s="41"/>
      <c r="AB59" s="41"/>
      <c r="AC59" s="41"/>
      <c r="AD59" s="41"/>
      <c r="AE59" s="41"/>
      <c r="AF59" s="41"/>
      <c r="AG59" s="41"/>
      <c r="AH59" s="41"/>
      <c r="AI59" s="41"/>
      <c r="AJ59" s="41"/>
      <c r="AK59" s="42" t="s">
        <v>7</v>
      </c>
      <c r="AL59" s="42"/>
      <c r="AM59" s="42"/>
      <c r="AN59" s="42"/>
      <c r="AO59" s="42"/>
      <c r="AP59" s="42"/>
      <c r="AQ59" s="42"/>
      <c r="AR59" s="42" t="s">
        <v>6</v>
      </c>
      <c r="AS59" s="42"/>
      <c r="AT59" s="42"/>
      <c r="AU59" s="42"/>
      <c r="AV59" s="42"/>
      <c r="AW59" s="42"/>
      <c r="AX59" s="42"/>
      <c r="AY59" s="42" t="s">
        <v>5</v>
      </c>
      <c r="AZ59" s="42"/>
      <c r="BA59" s="42"/>
      <c r="BB59" s="42"/>
      <c r="BC59" s="42"/>
      <c r="BD59" s="42"/>
      <c r="BE59" s="42"/>
      <c r="BF59" s="42"/>
      <c r="BG59" s="42"/>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row>
    <row r="60" spans="1:120" ht="12" customHeight="1" x14ac:dyDescent="0.2">
      <c r="E60" s="40"/>
      <c r="F60" s="40"/>
      <c r="G60" s="40"/>
      <c r="H60" s="40"/>
      <c r="I60" s="40"/>
      <c r="J60" s="40"/>
      <c r="K60" s="40"/>
      <c r="L60" s="40"/>
      <c r="M60" s="40"/>
      <c r="N60" s="40"/>
      <c r="O60" s="40"/>
      <c r="P60" s="40"/>
      <c r="Q60" s="40"/>
      <c r="R60" s="40"/>
      <c r="S60" s="41"/>
      <c r="T60" s="41"/>
      <c r="U60" s="41"/>
      <c r="V60" s="41"/>
      <c r="W60" s="41"/>
      <c r="X60" s="41"/>
      <c r="Y60" s="41"/>
      <c r="Z60" s="41"/>
      <c r="AA60" s="41"/>
      <c r="AB60" s="41"/>
      <c r="AC60" s="41"/>
      <c r="AD60" s="41"/>
      <c r="AE60" s="41"/>
      <c r="AF60" s="41"/>
      <c r="AG60" s="41"/>
      <c r="AH60" s="41"/>
      <c r="AI60" s="41"/>
      <c r="AJ60" s="41"/>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row>
    <row r="61" spans="1:120" ht="12" customHeight="1" x14ac:dyDescent="0.2">
      <c r="A61" s="4"/>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4"/>
      <c r="BL61" s="37" t="s">
        <v>4</v>
      </c>
      <c r="BM61" s="37"/>
      <c r="BN61" s="37"/>
      <c r="BO61" s="37"/>
      <c r="BP61" s="37"/>
      <c r="BQ61" s="37"/>
      <c r="BR61" s="37"/>
      <c r="BS61" s="37"/>
      <c r="BT61" s="37"/>
      <c r="BU61" s="36" t="s">
        <v>117</v>
      </c>
      <c r="BV61" s="36"/>
      <c r="BW61" s="36"/>
      <c r="BX61" s="36"/>
      <c r="BY61" s="36"/>
      <c r="BZ61" s="36"/>
      <c r="CA61" s="36"/>
      <c r="CB61" s="36"/>
      <c r="CC61" s="36"/>
      <c r="CD61" s="38" t="str">
        <f>DB24&amp;" ± "&amp;BU42&amp;" %"</f>
        <v>-- ± -- %</v>
      </c>
      <c r="CE61" s="39"/>
      <c r="CF61" s="39"/>
      <c r="CG61" s="39"/>
      <c r="CH61" s="39"/>
      <c r="CI61" s="39"/>
      <c r="CJ61" s="39"/>
      <c r="CK61" s="39"/>
      <c r="CL61" s="39"/>
      <c r="CM61" s="39"/>
      <c r="CN61" s="39"/>
      <c r="CO61" s="39"/>
      <c r="CP61" s="3"/>
      <c r="CQ61" s="3"/>
      <c r="CR61" s="3"/>
      <c r="CS61" s="3"/>
      <c r="CT61" s="3"/>
      <c r="CU61" s="3"/>
      <c r="CV61" s="3"/>
      <c r="CW61" s="3"/>
      <c r="CX61" s="3"/>
      <c r="CY61" s="3"/>
      <c r="CZ61" s="3"/>
      <c r="DA61" s="3"/>
      <c r="DB61" s="3"/>
      <c r="DC61" s="3"/>
      <c r="DD61" s="3"/>
      <c r="DE61" s="3"/>
      <c r="DF61" s="3"/>
      <c r="DG61" s="3"/>
      <c r="DH61" s="3"/>
      <c r="DI61" s="3"/>
      <c r="DJ61" s="3"/>
      <c r="DK61" s="3"/>
      <c r="DL61" s="3"/>
      <c r="DM61" s="3"/>
      <c r="DN61" s="3"/>
    </row>
    <row r="62" spans="1:120" ht="12"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row>
    <row r="63" spans="1:120" ht="12" customHeight="1" x14ac:dyDescent="0.2">
      <c r="B63" s="33" t="s">
        <v>2</v>
      </c>
      <c r="C63" s="34"/>
      <c r="D63" s="34"/>
      <c r="E63" s="34"/>
      <c r="F63" s="34"/>
      <c r="G63" s="34"/>
      <c r="H63" s="34"/>
      <c r="I63" s="34"/>
      <c r="J63" s="34"/>
      <c r="K63" s="34"/>
      <c r="L63" s="34"/>
      <c r="M63" s="34"/>
      <c r="N63" s="34"/>
      <c r="O63" s="34"/>
      <c r="P63" s="34"/>
      <c r="Q63" s="34"/>
      <c r="R63" s="34"/>
      <c r="S63" s="34"/>
      <c r="T63" s="34"/>
      <c r="V63" s="33" t="s">
        <v>1</v>
      </c>
      <c r="W63" s="34"/>
      <c r="X63" s="34"/>
      <c r="Y63" s="34"/>
      <c r="Z63" s="34"/>
      <c r="AA63" s="34"/>
      <c r="AB63" s="34"/>
      <c r="AC63" s="34"/>
      <c r="AD63" s="34"/>
      <c r="AE63" s="34"/>
      <c r="AF63" s="34"/>
      <c r="AG63" s="34"/>
      <c r="AH63" s="34"/>
      <c r="AI63" s="34"/>
      <c r="AJ63" s="34"/>
      <c r="AK63" s="34"/>
      <c r="AL63" s="34"/>
      <c r="AM63" s="34"/>
      <c r="AN63" s="34"/>
      <c r="AP63" s="33" t="s">
        <v>0</v>
      </c>
      <c r="AQ63" s="34"/>
      <c r="AR63" s="34"/>
      <c r="AS63" s="34"/>
      <c r="AT63" s="34"/>
      <c r="AU63" s="34"/>
      <c r="AV63" s="34"/>
      <c r="AW63" s="34"/>
      <c r="AX63" s="34"/>
      <c r="AY63" s="34"/>
      <c r="AZ63" s="34"/>
      <c r="BA63" s="34"/>
      <c r="BB63" s="34"/>
      <c r="BC63" s="34"/>
      <c r="BD63" s="34"/>
      <c r="BE63" s="34"/>
      <c r="BF63" s="34"/>
      <c r="BG63" s="34"/>
      <c r="BH63" s="34"/>
      <c r="BJ63" s="33" t="s">
        <v>2</v>
      </c>
      <c r="BK63" s="34"/>
      <c r="BL63" s="34"/>
      <c r="BM63" s="34"/>
      <c r="BN63" s="34"/>
      <c r="BO63" s="34"/>
      <c r="BP63" s="34"/>
      <c r="BQ63" s="34"/>
      <c r="BR63" s="34"/>
      <c r="BS63" s="34"/>
      <c r="BT63" s="34"/>
      <c r="BU63" s="34"/>
      <c r="BV63" s="34"/>
      <c r="BW63" s="34"/>
      <c r="BX63" s="34"/>
      <c r="BY63" s="34"/>
      <c r="BZ63" s="34"/>
      <c r="CA63" s="34"/>
      <c r="CB63" s="34"/>
      <c r="CD63" s="33" t="s">
        <v>1</v>
      </c>
      <c r="CE63" s="34"/>
      <c r="CF63" s="34"/>
      <c r="CG63" s="34"/>
      <c r="CH63" s="34"/>
      <c r="CI63" s="34"/>
      <c r="CJ63" s="34"/>
      <c r="CK63" s="34"/>
      <c r="CL63" s="34"/>
      <c r="CM63" s="34"/>
      <c r="CN63" s="34"/>
      <c r="CO63" s="34"/>
      <c r="CP63" s="34"/>
      <c r="CQ63" s="34"/>
      <c r="CR63" s="34"/>
      <c r="CS63" s="34"/>
      <c r="CT63" s="34"/>
      <c r="CU63" s="34"/>
      <c r="CV63" s="34"/>
      <c r="CX63" s="33" t="s">
        <v>0</v>
      </c>
      <c r="CY63" s="34"/>
      <c r="CZ63" s="34"/>
      <c r="DA63" s="34"/>
      <c r="DB63" s="34"/>
      <c r="DC63" s="34"/>
      <c r="DD63" s="34"/>
      <c r="DE63" s="34"/>
      <c r="DF63" s="34"/>
      <c r="DG63" s="34"/>
      <c r="DH63" s="34"/>
      <c r="DI63" s="34"/>
      <c r="DJ63" s="34"/>
      <c r="DK63" s="34"/>
      <c r="DL63" s="34"/>
      <c r="DM63" s="34"/>
      <c r="DN63" s="34"/>
      <c r="DO63" s="34"/>
      <c r="DP63" s="34"/>
    </row>
    <row r="64" spans="1:120" ht="12" customHeight="1" x14ac:dyDescent="0.2">
      <c r="B64" s="34"/>
      <c r="C64" s="34"/>
      <c r="D64" s="34"/>
      <c r="E64" s="34"/>
      <c r="F64" s="34"/>
      <c r="G64" s="34"/>
      <c r="H64" s="34"/>
      <c r="I64" s="34"/>
      <c r="J64" s="34"/>
      <c r="K64" s="34"/>
      <c r="L64" s="34"/>
      <c r="M64" s="34"/>
      <c r="N64" s="34"/>
      <c r="O64" s="34"/>
      <c r="P64" s="34"/>
      <c r="Q64" s="34"/>
      <c r="R64" s="34"/>
      <c r="S64" s="34"/>
      <c r="T64" s="34"/>
      <c r="V64" s="34"/>
      <c r="W64" s="34"/>
      <c r="X64" s="34"/>
      <c r="Y64" s="34"/>
      <c r="Z64" s="34"/>
      <c r="AA64" s="34"/>
      <c r="AB64" s="34"/>
      <c r="AC64" s="34"/>
      <c r="AD64" s="34"/>
      <c r="AE64" s="34"/>
      <c r="AF64" s="34"/>
      <c r="AG64" s="34"/>
      <c r="AH64" s="34"/>
      <c r="AI64" s="34"/>
      <c r="AJ64" s="34"/>
      <c r="AK64" s="34"/>
      <c r="AL64" s="34"/>
      <c r="AM64" s="34"/>
      <c r="AN64" s="34"/>
      <c r="AP64" s="34"/>
      <c r="AQ64" s="34"/>
      <c r="AR64" s="34"/>
      <c r="AS64" s="34"/>
      <c r="AT64" s="34"/>
      <c r="AU64" s="34"/>
      <c r="AV64" s="34"/>
      <c r="AW64" s="34"/>
      <c r="AX64" s="34"/>
      <c r="AY64" s="34"/>
      <c r="AZ64" s="34"/>
      <c r="BA64" s="34"/>
      <c r="BB64" s="34"/>
      <c r="BC64" s="34"/>
      <c r="BD64" s="34"/>
      <c r="BE64" s="34"/>
      <c r="BF64" s="34"/>
      <c r="BG64" s="34"/>
      <c r="BH64" s="34"/>
      <c r="BJ64" s="34"/>
      <c r="BK64" s="34"/>
      <c r="BL64" s="34"/>
      <c r="BM64" s="34"/>
      <c r="BN64" s="34"/>
      <c r="BO64" s="34"/>
      <c r="BP64" s="34"/>
      <c r="BQ64" s="34"/>
      <c r="BR64" s="34"/>
      <c r="BS64" s="34"/>
      <c r="BT64" s="34"/>
      <c r="BU64" s="34"/>
      <c r="BV64" s="34"/>
      <c r="BW64" s="34"/>
      <c r="BX64" s="34"/>
      <c r="BY64" s="34"/>
      <c r="BZ64" s="34"/>
      <c r="CA64" s="34"/>
      <c r="CB64" s="34"/>
      <c r="CD64" s="34"/>
      <c r="CE64" s="34"/>
      <c r="CF64" s="34"/>
      <c r="CG64" s="34"/>
      <c r="CH64" s="34"/>
      <c r="CI64" s="34"/>
      <c r="CJ64" s="34"/>
      <c r="CK64" s="34"/>
      <c r="CL64" s="34"/>
      <c r="CM64" s="34"/>
      <c r="CN64" s="34"/>
      <c r="CO64" s="34"/>
      <c r="CP64" s="34"/>
      <c r="CQ64" s="34"/>
      <c r="CR64" s="34"/>
      <c r="CS64" s="34"/>
      <c r="CT64" s="34"/>
      <c r="CU64" s="34"/>
      <c r="CV64" s="34"/>
      <c r="CX64" s="34"/>
      <c r="CY64" s="34"/>
      <c r="CZ64" s="34"/>
      <c r="DA64" s="34"/>
      <c r="DB64" s="34"/>
      <c r="DC64" s="34"/>
      <c r="DD64" s="34"/>
      <c r="DE64" s="34"/>
      <c r="DF64" s="34"/>
      <c r="DG64" s="34"/>
      <c r="DH64" s="34"/>
      <c r="DI64" s="34"/>
      <c r="DJ64" s="34"/>
      <c r="DK64" s="34"/>
      <c r="DL64" s="34"/>
      <c r="DM64" s="34"/>
      <c r="DN64" s="34"/>
      <c r="DO64" s="34"/>
      <c r="DP64" s="34"/>
    </row>
    <row r="65" spans="2:120" ht="12" customHeight="1" x14ac:dyDescent="0.2">
      <c r="B65" s="34"/>
      <c r="C65" s="34"/>
      <c r="D65" s="34"/>
      <c r="E65" s="34"/>
      <c r="F65" s="34"/>
      <c r="G65" s="34"/>
      <c r="H65" s="34"/>
      <c r="I65" s="34"/>
      <c r="J65" s="34"/>
      <c r="K65" s="34"/>
      <c r="L65" s="34"/>
      <c r="M65" s="34"/>
      <c r="N65" s="34"/>
      <c r="O65" s="34"/>
      <c r="P65" s="34"/>
      <c r="Q65" s="34"/>
      <c r="R65" s="34"/>
      <c r="S65" s="34"/>
      <c r="T65" s="34"/>
      <c r="V65" s="34"/>
      <c r="W65" s="34"/>
      <c r="X65" s="34"/>
      <c r="Y65" s="34"/>
      <c r="Z65" s="34"/>
      <c r="AA65" s="34"/>
      <c r="AB65" s="34"/>
      <c r="AC65" s="34"/>
      <c r="AD65" s="34"/>
      <c r="AE65" s="34"/>
      <c r="AF65" s="34"/>
      <c r="AG65" s="34"/>
      <c r="AH65" s="34"/>
      <c r="AI65" s="34"/>
      <c r="AJ65" s="34"/>
      <c r="AK65" s="34"/>
      <c r="AL65" s="34"/>
      <c r="AM65" s="34"/>
      <c r="AN65" s="34"/>
      <c r="AP65" s="34"/>
      <c r="AQ65" s="34"/>
      <c r="AR65" s="34"/>
      <c r="AS65" s="34"/>
      <c r="AT65" s="34"/>
      <c r="AU65" s="34"/>
      <c r="AV65" s="34"/>
      <c r="AW65" s="34"/>
      <c r="AX65" s="34"/>
      <c r="AY65" s="34"/>
      <c r="AZ65" s="34"/>
      <c r="BA65" s="34"/>
      <c r="BB65" s="34"/>
      <c r="BC65" s="34"/>
      <c r="BD65" s="34"/>
      <c r="BE65" s="34"/>
      <c r="BF65" s="34"/>
      <c r="BG65" s="34"/>
      <c r="BH65" s="34"/>
      <c r="BJ65" s="34"/>
      <c r="BK65" s="34"/>
      <c r="BL65" s="34"/>
      <c r="BM65" s="34"/>
      <c r="BN65" s="34"/>
      <c r="BO65" s="34"/>
      <c r="BP65" s="34"/>
      <c r="BQ65" s="34"/>
      <c r="BR65" s="34"/>
      <c r="BS65" s="34"/>
      <c r="BT65" s="34"/>
      <c r="BU65" s="34"/>
      <c r="BV65" s="34"/>
      <c r="BW65" s="34"/>
      <c r="BX65" s="34"/>
      <c r="BY65" s="34"/>
      <c r="BZ65" s="34"/>
      <c r="CA65" s="34"/>
      <c r="CB65" s="34"/>
      <c r="CD65" s="34"/>
      <c r="CE65" s="34"/>
      <c r="CF65" s="34"/>
      <c r="CG65" s="34"/>
      <c r="CH65" s="34"/>
      <c r="CI65" s="34"/>
      <c r="CJ65" s="34"/>
      <c r="CK65" s="34"/>
      <c r="CL65" s="34"/>
      <c r="CM65" s="34"/>
      <c r="CN65" s="34"/>
      <c r="CO65" s="34"/>
      <c r="CP65" s="34"/>
      <c r="CQ65" s="34"/>
      <c r="CR65" s="34"/>
      <c r="CS65" s="34"/>
      <c r="CT65" s="34"/>
      <c r="CU65" s="34"/>
      <c r="CV65" s="34"/>
      <c r="CX65" s="34"/>
      <c r="CY65" s="34"/>
      <c r="CZ65" s="34"/>
      <c r="DA65" s="34"/>
      <c r="DB65" s="34"/>
      <c r="DC65" s="34"/>
      <c r="DD65" s="34"/>
      <c r="DE65" s="34"/>
      <c r="DF65" s="34"/>
      <c r="DG65" s="34"/>
      <c r="DH65" s="34"/>
      <c r="DI65" s="34"/>
      <c r="DJ65" s="34"/>
      <c r="DK65" s="34"/>
      <c r="DL65" s="34"/>
      <c r="DM65" s="34"/>
      <c r="DN65" s="34"/>
      <c r="DO65" s="34"/>
      <c r="DP65" s="34"/>
    </row>
  </sheetData>
  <mergeCells count="217">
    <mergeCell ref="F1:AH1"/>
    <mergeCell ref="BB1:BH1"/>
    <mergeCell ref="BN1:CP1"/>
    <mergeCell ref="DJ1:DP1"/>
    <mergeCell ref="F2:AH2"/>
    <mergeCell ref="BB2:BH2"/>
    <mergeCell ref="BN2:CP2"/>
    <mergeCell ref="DJ2:DP2"/>
    <mergeCell ref="BW8:CA8"/>
    <mergeCell ref="C9:D9"/>
    <mergeCell ref="E9:BG9"/>
    <mergeCell ref="E6:BG7"/>
    <mergeCell ref="BL6:CG6"/>
    <mergeCell ref="BW7:CA7"/>
    <mergeCell ref="CB7:CE8"/>
    <mergeCell ref="CG7:CJ7"/>
    <mergeCell ref="F3:AH3"/>
    <mergeCell ref="BN3:CP3"/>
    <mergeCell ref="C5:D5"/>
    <mergeCell ref="E5:BG5"/>
    <mergeCell ref="BJ5:BK5"/>
    <mergeCell ref="BL5:DN5"/>
    <mergeCell ref="H13:BG13"/>
    <mergeCell ref="BO13:BZ13"/>
    <mergeCell ref="CA13:CI13"/>
    <mergeCell ref="CJ13:CR13"/>
    <mergeCell ref="CS13:DA13"/>
    <mergeCell ref="DB13:DN13"/>
    <mergeCell ref="E10:G10"/>
    <mergeCell ref="H10:BG10"/>
    <mergeCell ref="H11:BG11"/>
    <mergeCell ref="BJ11:BK11"/>
    <mergeCell ref="BL11:DN11"/>
    <mergeCell ref="E12:G12"/>
    <mergeCell ref="H12:BG12"/>
    <mergeCell ref="BL12:BN12"/>
    <mergeCell ref="BO12:DN12"/>
    <mergeCell ref="DB14:DN14"/>
    <mergeCell ref="BO15:BZ15"/>
    <mergeCell ref="CA15:CI15"/>
    <mergeCell ref="CJ15:CR15"/>
    <mergeCell ref="CS15:DA15"/>
    <mergeCell ref="DB15:DN15"/>
    <mergeCell ref="C14:D15"/>
    <mergeCell ref="E14:BG15"/>
    <mergeCell ref="BO14:BZ14"/>
    <mergeCell ref="CA14:CI14"/>
    <mergeCell ref="CJ14:CR14"/>
    <mergeCell ref="CS14:DA14"/>
    <mergeCell ref="BO16:BZ16"/>
    <mergeCell ref="CA16:CI16"/>
    <mergeCell ref="CJ16:CR16"/>
    <mergeCell ref="CS16:DA16"/>
    <mergeCell ref="DB16:DN16"/>
    <mergeCell ref="BO17:BZ17"/>
    <mergeCell ref="CA17:CI17"/>
    <mergeCell ref="CJ17:CR17"/>
    <mergeCell ref="CS17:DA17"/>
    <mergeCell ref="DB17:DN17"/>
    <mergeCell ref="BO18:BZ18"/>
    <mergeCell ref="CA18:CI18"/>
    <mergeCell ref="CJ18:CR18"/>
    <mergeCell ref="CS18:DA18"/>
    <mergeCell ref="DB18:DN18"/>
    <mergeCell ref="BO19:BZ19"/>
    <mergeCell ref="CA19:CI19"/>
    <mergeCell ref="CJ19:CR19"/>
    <mergeCell ref="CS19:DA19"/>
    <mergeCell ref="DB19:DN19"/>
    <mergeCell ref="BO20:BZ20"/>
    <mergeCell ref="CA20:CI20"/>
    <mergeCell ref="CJ20:CR20"/>
    <mergeCell ref="CS20:DA20"/>
    <mergeCell ref="DB20:DN20"/>
    <mergeCell ref="BO21:BZ21"/>
    <mergeCell ref="CA21:CI21"/>
    <mergeCell ref="CJ21:CR21"/>
    <mergeCell ref="CS21:DA21"/>
    <mergeCell ref="DB21:DN21"/>
    <mergeCell ref="BO24:DA24"/>
    <mergeCell ref="DB24:DN24"/>
    <mergeCell ref="BO25:DA25"/>
    <mergeCell ref="DB25:DN25"/>
    <mergeCell ref="BL26:BN26"/>
    <mergeCell ref="BO26:DN26"/>
    <mergeCell ref="BO22:BZ22"/>
    <mergeCell ref="CA22:CI22"/>
    <mergeCell ref="CJ22:CR22"/>
    <mergeCell ref="CS22:DA22"/>
    <mergeCell ref="DB22:DN22"/>
    <mergeCell ref="BO23:BZ23"/>
    <mergeCell ref="CA23:CI23"/>
    <mergeCell ref="CJ23:CR23"/>
    <mergeCell ref="CS23:DA23"/>
    <mergeCell ref="DB23:DN23"/>
    <mergeCell ref="DA27:DN27"/>
    <mergeCell ref="BO28:CB28"/>
    <mergeCell ref="CC28:CJ28"/>
    <mergeCell ref="CK28:CR28"/>
    <mergeCell ref="CS28:CZ28"/>
    <mergeCell ref="DA28:DN28"/>
    <mergeCell ref="C27:D28"/>
    <mergeCell ref="E27:BG28"/>
    <mergeCell ref="BO27:CB27"/>
    <mergeCell ref="CC27:CJ27"/>
    <mergeCell ref="CK27:CR27"/>
    <mergeCell ref="CS27:CZ27"/>
    <mergeCell ref="DA33:DN33"/>
    <mergeCell ref="BO34:CB34"/>
    <mergeCell ref="CC34:CJ34"/>
    <mergeCell ref="CK34:CR34"/>
    <mergeCell ref="CS34:CZ34"/>
    <mergeCell ref="DA34:DN34"/>
    <mergeCell ref="BO29:CB29"/>
    <mergeCell ref="CC29:CJ29"/>
    <mergeCell ref="CK29:CR29"/>
    <mergeCell ref="CS29:CZ29"/>
    <mergeCell ref="DA29:DN29"/>
    <mergeCell ref="BO30:CB30"/>
    <mergeCell ref="CC30:CJ30"/>
    <mergeCell ref="CK30:CR30"/>
    <mergeCell ref="CS30:CZ30"/>
    <mergeCell ref="DA30:DN30"/>
    <mergeCell ref="C43:D43"/>
    <mergeCell ref="E43:BG43"/>
    <mergeCell ref="BL45:CF45"/>
    <mergeCell ref="CG45:DN45"/>
    <mergeCell ref="BL36:BN36"/>
    <mergeCell ref="BO36:DN36"/>
    <mergeCell ref="BO37:DN37"/>
    <mergeCell ref="BL40:BN40"/>
    <mergeCell ref="BO40:DN40"/>
    <mergeCell ref="E44:BG49"/>
    <mergeCell ref="BL46:CF46"/>
    <mergeCell ref="CG46:DN46"/>
    <mergeCell ref="BL47:CF47"/>
    <mergeCell ref="CG47:DN47"/>
    <mergeCell ref="BL48:CF48"/>
    <mergeCell ref="CG48:DN48"/>
    <mergeCell ref="BL49:CF49"/>
    <mergeCell ref="CG49:DN49"/>
    <mergeCell ref="BJ44:BK44"/>
    <mergeCell ref="BL44:DN44"/>
    <mergeCell ref="E51:R52"/>
    <mergeCell ref="S51:AJ52"/>
    <mergeCell ref="AK51:AQ52"/>
    <mergeCell ref="AR51:AX52"/>
    <mergeCell ref="AY51:BG52"/>
    <mergeCell ref="BL53:CF53"/>
    <mergeCell ref="CG50:DN50"/>
    <mergeCell ref="BL51:CF51"/>
    <mergeCell ref="CG51:DN51"/>
    <mergeCell ref="E50:R50"/>
    <mergeCell ref="S50:AJ50"/>
    <mergeCell ref="AK50:AQ50"/>
    <mergeCell ref="AR50:AX50"/>
    <mergeCell ref="AY50:BG50"/>
    <mergeCell ref="BL52:CF52"/>
    <mergeCell ref="CG52:DN52"/>
    <mergeCell ref="BL50:CF50"/>
    <mergeCell ref="E55:R56"/>
    <mergeCell ref="S55:AJ56"/>
    <mergeCell ref="AK55:AQ56"/>
    <mergeCell ref="AR55:AX56"/>
    <mergeCell ref="AY55:BG56"/>
    <mergeCell ref="BL57:CF57"/>
    <mergeCell ref="CG57:DN57"/>
    <mergeCell ref="BL58:DN60"/>
    <mergeCell ref="CG53:DN53"/>
    <mergeCell ref="BL54:CF54"/>
    <mergeCell ref="CG54:DN54"/>
    <mergeCell ref="E53:R54"/>
    <mergeCell ref="S53:AJ54"/>
    <mergeCell ref="AK53:AQ54"/>
    <mergeCell ref="AR53:AX54"/>
    <mergeCell ref="AY53:BG54"/>
    <mergeCell ref="BL55:CF55"/>
    <mergeCell ref="CG55:DN55"/>
    <mergeCell ref="B63:T65"/>
    <mergeCell ref="V63:AN65"/>
    <mergeCell ref="AP63:BH65"/>
    <mergeCell ref="BJ63:CB65"/>
    <mergeCell ref="CD63:CV65"/>
    <mergeCell ref="E57:R58"/>
    <mergeCell ref="S57:AJ58"/>
    <mergeCell ref="AK57:AQ58"/>
    <mergeCell ref="AR57:AX58"/>
    <mergeCell ref="AY57:BG58"/>
    <mergeCell ref="E59:R60"/>
    <mergeCell ref="S59:AJ60"/>
    <mergeCell ref="AK59:AQ60"/>
    <mergeCell ref="AR59:AX60"/>
    <mergeCell ref="AY59:BG60"/>
    <mergeCell ref="BO32:CB32"/>
    <mergeCell ref="CC32:CJ32"/>
    <mergeCell ref="CK32:CR32"/>
    <mergeCell ref="CS32:CZ32"/>
    <mergeCell ref="DA32:DN32"/>
    <mergeCell ref="CB38:CG38"/>
    <mergeCell ref="CX63:DP65"/>
    <mergeCell ref="BL7:BV8"/>
    <mergeCell ref="BU61:CC61"/>
    <mergeCell ref="BO31:CB31"/>
    <mergeCell ref="CC31:CJ31"/>
    <mergeCell ref="CK31:CR31"/>
    <mergeCell ref="CS31:CZ31"/>
    <mergeCell ref="DA31:DN31"/>
    <mergeCell ref="BL61:BT61"/>
    <mergeCell ref="CD61:CO61"/>
    <mergeCell ref="BL56:CF56"/>
    <mergeCell ref="CG56:DN56"/>
    <mergeCell ref="BO41:DN41"/>
    <mergeCell ref="BU42:BZ42"/>
    <mergeCell ref="BO33:CB33"/>
    <mergeCell ref="CC33:CJ33"/>
    <mergeCell ref="CK33:CR33"/>
    <mergeCell ref="CS33:CZ33"/>
  </mergeCells>
  <printOptions horizontalCentered="1"/>
  <pageMargins left="0.86614173228346458" right="0.6692913385826772" top="0.47244094488188981" bottom="0.19685039370078741"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893-DEB9-4DAA-AD61-DBDCE7D53C37}">
  <dimension ref="A1:DP65"/>
  <sheetViews>
    <sheetView showGridLines="0" zoomScaleNormal="100" workbookViewId="0"/>
  </sheetViews>
  <sheetFormatPr defaultRowHeight="12" x14ac:dyDescent="0.2"/>
  <cols>
    <col min="1" max="120" width="1.42578125" style="1" customWidth="1"/>
    <col min="121" max="16384" width="9.140625" style="1"/>
  </cols>
  <sheetData>
    <row r="1" spans="1:120" ht="12" customHeight="1" x14ac:dyDescent="0.2">
      <c r="F1" s="52" t="s">
        <v>102</v>
      </c>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P1" s="16" t="s">
        <v>101</v>
      </c>
      <c r="AQ1" s="15" t="s">
        <v>100</v>
      </c>
      <c r="BB1" s="77" t="s">
        <v>103</v>
      </c>
      <c r="BC1" s="77"/>
      <c r="BD1" s="77"/>
      <c r="BE1" s="77"/>
      <c r="BF1" s="77"/>
      <c r="BG1" s="77"/>
      <c r="BH1" s="77"/>
      <c r="BN1" s="52" t="s">
        <v>102</v>
      </c>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X1" s="16" t="s">
        <v>101</v>
      </c>
      <c r="CY1" s="15" t="str">
        <f>AQ1</f>
        <v>SMJ/FRM/QCD/03/02</v>
      </c>
      <c r="DJ1" s="77" t="s">
        <v>99</v>
      </c>
      <c r="DK1" s="77"/>
      <c r="DL1" s="77"/>
      <c r="DM1" s="77"/>
      <c r="DN1" s="77"/>
      <c r="DO1" s="77"/>
      <c r="DP1" s="77"/>
    </row>
    <row r="2" spans="1:120" ht="12" customHeight="1" x14ac:dyDescent="0.2">
      <c r="F2" s="78" t="s">
        <v>98</v>
      </c>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P2" s="16" t="s">
        <v>97</v>
      </c>
      <c r="AQ2" s="15" t="s">
        <v>96</v>
      </c>
      <c r="BB2" s="77" t="s">
        <v>95</v>
      </c>
      <c r="BC2" s="77"/>
      <c r="BD2" s="77"/>
      <c r="BE2" s="77"/>
      <c r="BF2" s="77"/>
      <c r="BG2" s="77"/>
      <c r="BH2" s="77"/>
      <c r="BN2" s="78" t="s">
        <v>98</v>
      </c>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X2" s="16" t="s">
        <v>97</v>
      </c>
      <c r="CY2" s="15" t="s">
        <v>96</v>
      </c>
      <c r="DJ2" s="77" t="s">
        <v>95</v>
      </c>
      <c r="DK2" s="77"/>
      <c r="DL2" s="77"/>
      <c r="DM2" s="77"/>
      <c r="DN2" s="77"/>
      <c r="DO2" s="77"/>
      <c r="DP2" s="77"/>
    </row>
    <row r="3" spans="1:120" ht="12" customHeight="1" x14ac:dyDescent="0.2">
      <c r="A3" s="2"/>
      <c r="B3" s="2"/>
      <c r="C3" s="2"/>
      <c r="D3" s="2"/>
      <c r="E3" s="2"/>
      <c r="F3" s="76" t="s">
        <v>94</v>
      </c>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76" t="str">
        <f>F3</f>
        <v>UoM for determining Ash Content in Coal</v>
      </c>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2"/>
      <c r="CR3" s="2"/>
      <c r="CS3" s="2"/>
      <c r="CT3" s="2"/>
      <c r="CU3" s="2"/>
      <c r="CV3" s="2"/>
      <c r="CW3" s="2"/>
      <c r="CX3" s="2"/>
      <c r="CY3" s="2"/>
      <c r="CZ3" s="2"/>
      <c r="DA3" s="2"/>
      <c r="DB3" s="2"/>
      <c r="DC3" s="2"/>
      <c r="DD3" s="2"/>
      <c r="DE3" s="2"/>
      <c r="DF3" s="2"/>
      <c r="DG3" s="2"/>
      <c r="DH3" s="2"/>
      <c r="DI3" s="2"/>
      <c r="DJ3" s="2"/>
      <c r="DK3" s="2"/>
      <c r="DL3" s="2"/>
      <c r="DM3" s="2"/>
      <c r="DN3" s="2"/>
      <c r="DO3" s="2"/>
      <c r="DP3" s="2"/>
    </row>
    <row r="4" spans="1:120" ht="12" customHeight="1" x14ac:dyDescent="0.2"/>
    <row r="5" spans="1:120" ht="12" customHeight="1" x14ac:dyDescent="0.2">
      <c r="A5" s="4"/>
      <c r="B5" s="4"/>
      <c r="C5" s="52" t="str">
        <f>"1."</f>
        <v>1.</v>
      </c>
      <c r="D5" s="52"/>
      <c r="E5" s="52" t="s">
        <v>93</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4"/>
      <c r="BI5" s="4"/>
      <c r="BJ5" s="52" t="str">
        <f>"6."</f>
        <v>6.</v>
      </c>
      <c r="BK5" s="52"/>
      <c r="BL5" s="52" t="s">
        <v>92</v>
      </c>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row>
    <row r="6" spans="1:120" ht="12" customHeight="1" x14ac:dyDescent="0.2">
      <c r="E6" s="47" t="s">
        <v>91</v>
      </c>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L6" s="51" t="s">
        <v>90</v>
      </c>
      <c r="BM6" s="51"/>
      <c r="BN6" s="51"/>
      <c r="BO6" s="51"/>
      <c r="BP6" s="51"/>
      <c r="BQ6" s="51"/>
      <c r="BR6" s="51"/>
      <c r="BS6" s="51"/>
      <c r="BT6" s="51"/>
      <c r="BU6" s="51"/>
      <c r="BV6" s="51"/>
      <c r="BW6" s="51"/>
      <c r="BX6" s="51"/>
      <c r="BY6" s="51"/>
      <c r="BZ6" s="51"/>
      <c r="CA6" s="51"/>
      <c r="CB6" s="51"/>
      <c r="CC6" s="51"/>
      <c r="CD6" s="51"/>
      <c r="CE6" s="51"/>
      <c r="CF6" s="51"/>
      <c r="CG6" s="51"/>
    </row>
    <row r="7" spans="1:120" ht="12" customHeight="1" x14ac:dyDescent="0.2">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L7" s="35" t="s">
        <v>89</v>
      </c>
      <c r="BM7" s="35"/>
      <c r="BN7" s="35"/>
      <c r="BO7" s="35"/>
      <c r="BP7" s="35"/>
      <c r="BQ7" s="35"/>
      <c r="BR7" s="35"/>
      <c r="BS7" s="35"/>
      <c r="BT7" s="35"/>
      <c r="BU7" s="73" t="s">
        <v>142</v>
      </c>
      <c r="BV7" s="73"/>
      <c r="BW7" s="73"/>
      <c r="BX7" s="73"/>
      <c r="BY7" s="73"/>
      <c r="BZ7" s="74" t="s">
        <v>88</v>
      </c>
      <c r="CA7" s="74"/>
      <c r="CB7" s="74"/>
      <c r="CC7" s="74"/>
      <c r="CE7" s="75" t="s">
        <v>87</v>
      </c>
      <c r="CF7" s="75"/>
      <c r="CG7" s="75"/>
      <c r="CH7" s="75"/>
      <c r="CI7" s="88" t="s">
        <v>86</v>
      </c>
      <c r="CJ7" s="88"/>
      <c r="CK7" s="88"/>
      <c r="CL7" s="88"/>
      <c r="CM7" s="88"/>
      <c r="CN7" s="88"/>
      <c r="CO7" s="88"/>
      <c r="CP7" s="88"/>
      <c r="CQ7" s="88"/>
      <c r="CR7" s="88"/>
      <c r="CS7" s="88"/>
      <c r="CT7" s="88"/>
      <c r="CU7" s="88"/>
      <c r="CV7" s="88"/>
      <c r="CW7" s="88"/>
      <c r="CX7" s="88"/>
      <c r="CY7" s="88"/>
      <c r="CZ7" s="88"/>
      <c r="DA7" s="88"/>
      <c r="DB7" s="88"/>
      <c r="DC7" s="88"/>
      <c r="DD7" s="88"/>
      <c r="DE7" s="88"/>
      <c r="DF7" s="88"/>
      <c r="DG7" s="88"/>
      <c r="DH7" s="88"/>
      <c r="DI7" s="88"/>
      <c r="DJ7" s="88"/>
      <c r="DK7" s="88"/>
      <c r="DL7" s="88"/>
      <c r="DM7" s="88"/>
      <c r="DN7" s="88"/>
    </row>
    <row r="8" spans="1:120" ht="12" customHeight="1" x14ac:dyDescent="0.2">
      <c r="BL8" s="35"/>
      <c r="BM8" s="35"/>
      <c r="BN8" s="35"/>
      <c r="BO8" s="35"/>
      <c r="BP8" s="35"/>
      <c r="BQ8" s="35"/>
      <c r="BR8" s="35"/>
      <c r="BS8" s="35"/>
      <c r="BT8" s="35"/>
      <c r="BU8" s="72" t="s">
        <v>85</v>
      </c>
      <c r="BV8" s="72"/>
      <c r="BW8" s="72"/>
      <c r="BX8" s="72"/>
      <c r="BY8" s="72"/>
      <c r="BZ8" s="74"/>
      <c r="CA8" s="74"/>
      <c r="CB8" s="74"/>
      <c r="CC8" s="74"/>
      <c r="CE8" s="11"/>
      <c r="CF8" s="11"/>
      <c r="CG8" s="11"/>
      <c r="CH8" s="11"/>
      <c r="CI8" s="88" t="s">
        <v>140</v>
      </c>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88"/>
      <c r="DJ8" s="88"/>
      <c r="DK8" s="88"/>
      <c r="DL8" s="88"/>
      <c r="DM8" s="88"/>
      <c r="DN8" s="88"/>
    </row>
    <row r="9" spans="1:120" ht="12" customHeight="1" x14ac:dyDescent="0.2">
      <c r="A9" s="4"/>
      <c r="B9" s="4"/>
      <c r="C9" s="52" t="str">
        <f>"2."</f>
        <v>2.</v>
      </c>
      <c r="D9" s="52"/>
      <c r="E9" s="52" t="s">
        <v>84</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4"/>
      <c r="BL9" s="3"/>
      <c r="BM9" s="3"/>
      <c r="BN9" s="3"/>
      <c r="BO9" s="3"/>
      <c r="BP9" s="3"/>
      <c r="BQ9" s="3"/>
      <c r="BR9" s="3"/>
      <c r="BS9" s="3"/>
      <c r="BT9" s="3"/>
      <c r="BU9" s="3"/>
      <c r="BV9" s="3"/>
      <c r="BW9" s="3"/>
      <c r="BX9" s="3"/>
      <c r="BY9" s="3"/>
      <c r="BZ9" s="3"/>
      <c r="CA9" s="3"/>
      <c r="CB9" s="3"/>
      <c r="CC9" s="3"/>
      <c r="CD9" s="3"/>
      <c r="CE9" s="3"/>
      <c r="CF9" s="3"/>
      <c r="CG9" s="3"/>
      <c r="CH9" s="3"/>
      <c r="CI9" s="88" t="s">
        <v>83</v>
      </c>
      <c r="CJ9" s="88"/>
      <c r="CK9" s="88"/>
      <c r="CL9" s="88"/>
      <c r="CM9" s="88"/>
      <c r="CN9" s="88"/>
      <c r="CO9" s="88"/>
      <c r="CP9" s="88"/>
      <c r="CQ9" s="88"/>
      <c r="CR9" s="88"/>
      <c r="CS9" s="88"/>
      <c r="CT9" s="88"/>
      <c r="CU9" s="88"/>
      <c r="CV9" s="88"/>
      <c r="CW9" s="88"/>
      <c r="CX9" s="88"/>
      <c r="CY9" s="88"/>
      <c r="CZ9" s="88"/>
      <c r="DA9" s="88"/>
      <c r="DB9" s="88"/>
      <c r="DC9" s="88"/>
      <c r="DD9" s="88"/>
      <c r="DE9" s="88"/>
      <c r="DF9" s="88"/>
      <c r="DG9" s="88"/>
      <c r="DH9" s="88"/>
      <c r="DI9" s="88"/>
      <c r="DJ9" s="88"/>
      <c r="DK9" s="88"/>
      <c r="DL9" s="88"/>
      <c r="DM9" s="88"/>
      <c r="DN9" s="88"/>
    </row>
    <row r="10" spans="1:120" ht="12" customHeight="1" x14ac:dyDescent="0.2">
      <c r="E10" s="71" t="str">
        <f>"2.1."</f>
        <v>2.1.</v>
      </c>
      <c r="F10" s="71"/>
      <c r="G10" s="71"/>
      <c r="H10" s="53" t="s">
        <v>82</v>
      </c>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L10" s="14"/>
      <c r="BM10" s="14"/>
      <c r="BN10" s="14"/>
      <c r="BO10" s="14"/>
      <c r="BP10" s="14"/>
      <c r="BQ10" s="14"/>
      <c r="BR10" s="14"/>
      <c r="BS10" s="14"/>
      <c r="BT10" s="14"/>
      <c r="BU10" s="13"/>
      <c r="BV10" s="13"/>
      <c r="BW10" s="13"/>
      <c r="BX10" s="13"/>
      <c r="BY10" s="13"/>
      <c r="BZ10" s="12"/>
      <c r="CA10" s="12"/>
      <c r="CB10" s="12"/>
      <c r="CC10" s="12"/>
      <c r="CE10" s="11"/>
      <c r="CF10" s="11"/>
      <c r="CG10" s="11"/>
      <c r="CH10" s="11"/>
      <c r="CI10" s="88" t="s">
        <v>141</v>
      </c>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row>
    <row r="11" spans="1:120" ht="12" customHeight="1" x14ac:dyDescent="0.2">
      <c r="H11" s="70" t="s">
        <v>81</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I11" s="4"/>
      <c r="BJ11" s="52" t="str">
        <f>"7."</f>
        <v>7.</v>
      </c>
      <c r="BK11" s="52"/>
      <c r="BL11" s="52" t="s">
        <v>80</v>
      </c>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row>
    <row r="12" spans="1:120" ht="12" customHeight="1" x14ac:dyDescent="0.2">
      <c r="E12" s="71" t="str">
        <f>"2.2."</f>
        <v>2.2.</v>
      </c>
      <c r="F12" s="71"/>
      <c r="G12" s="71"/>
      <c r="H12" s="53" t="s">
        <v>79</v>
      </c>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L12" s="53" t="s">
        <v>78</v>
      </c>
      <c r="BM12" s="53"/>
      <c r="BN12" s="53"/>
      <c r="BO12" s="53" t="s">
        <v>29</v>
      </c>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row>
    <row r="13" spans="1:120" ht="12" customHeight="1" x14ac:dyDescent="0.2">
      <c r="H13" s="70" t="s">
        <v>77</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O13" s="49" t="s">
        <v>76</v>
      </c>
      <c r="BP13" s="49"/>
      <c r="BQ13" s="49"/>
      <c r="BR13" s="49"/>
      <c r="BS13" s="49"/>
      <c r="BT13" s="49"/>
      <c r="BU13" s="49"/>
      <c r="BV13" s="49"/>
      <c r="BW13" s="49"/>
      <c r="BX13" s="49"/>
      <c r="BY13" s="49"/>
      <c r="BZ13" s="49"/>
      <c r="CA13" s="54" t="s">
        <v>75</v>
      </c>
      <c r="CB13" s="55"/>
      <c r="CC13" s="55"/>
      <c r="CD13" s="55"/>
      <c r="CE13" s="55"/>
      <c r="CF13" s="55"/>
      <c r="CG13" s="56"/>
      <c r="CH13" s="54" t="s">
        <v>74</v>
      </c>
      <c r="CI13" s="55"/>
      <c r="CJ13" s="55"/>
      <c r="CK13" s="55"/>
      <c r="CL13" s="55"/>
      <c r="CM13" s="55"/>
      <c r="CN13" s="56"/>
      <c r="CO13" s="54" t="s">
        <v>73</v>
      </c>
      <c r="CP13" s="55"/>
      <c r="CQ13" s="55"/>
      <c r="CR13" s="55"/>
      <c r="CS13" s="55"/>
      <c r="CT13" s="55"/>
      <c r="CU13" s="56"/>
      <c r="CV13" s="54" t="s">
        <v>143</v>
      </c>
      <c r="CW13" s="55"/>
      <c r="CX13" s="55"/>
      <c r="CY13" s="55"/>
      <c r="CZ13" s="55"/>
      <c r="DA13" s="55"/>
      <c r="DB13" s="56"/>
      <c r="DC13" s="54" t="s">
        <v>72</v>
      </c>
      <c r="DD13" s="55"/>
      <c r="DE13" s="55"/>
      <c r="DF13" s="55"/>
      <c r="DG13" s="55"/>
      <c r="DH13" s="55"/>
      <c r="DI13" s="55"/>
      <c r="DJ13" s="55"/>
      <c r="DK13" s="55"/>
      <c r="DL13" s="55"/>
      <c r="DM13" s="55"/>
      <c r="DN13" s="56"/>
    </row>
    <row r="14" spans="1:120" ht="12" customHeight="1" x14ac:dyDescent="0.2">
      <c r="C14" s="60" t="str">
        <f>"3."</f>
        <v>3.</v>
      </c>
      <c r="D14" s="60"/>
      <c r="E14" s="61" t="s">
        <v>71</v>
      </c>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O14" s="68" t="s">
        <v>70</v>
      </c>
      <c r="BP14" s="68"/>
      <c r="BQ14" s="68"/>
      <c r="BR14" s="68"/>
      <c r="BS14" s="68"/>
      <c r="BT14" s="68"/>
      <c r="BU14" s="68"/>
      <c r="BV14" s="68"/>
      <c r="BW14" s="68"/>
      <c r="BX14" s="68"/>
      <c r="BY14" s="68"/>
      <c r="BZ14" s="68"/>
      <c r="CA14" s="82"/>
      <c r="CB14" s="83"/>
      <c r="CC14" s="83"/>
      <c r="CD14" s="83"/>
      <c r="CE14" s="83"/>
      <c r="CF14" s="83"/>
      <c r="CG14" s="84"/>
      <c r="CH14" s="82"/>
      <c r="CI14" s="83"/>
      <c r="CJ14" s="83"/>
      <c r="CK14" s="83"/>
      <c r="CL14" s="83"/>
      <c r="CM14" s="83"/>
      <c r="CN14" s="84"/>
      <c r="CO14" s="82"/>
      <c r="CP14" s="83"/>
      <c r="CQ14" s="83"/>
      <c r="CR14" s="83"/>
      <c r="CS14" s="83"/>
      <c r="CT14" s="83"/>
      <c r="CU14" s="84"/>
      <c r="CV14" s="82"/>
      <c r="CW14" s="83"/>
      <c r="CX14" s="83"/>
      <c r="CY14" s="83"/>
      <c r="CZ14" s="83"/>
      <c r="DA14" s="83"/>
      <c r="DB14" s="84"/>
      <c r="DC14" s="26" t="str">
        <f>IFERROR(ROUND(100*(CO14-CV14)/(CH14-CA14),5),"--")</f>
        <v>--</v>
      </c>
      <c r="DD14" s="27"/>
      <c r="DE14" s="27"/>
      <c r="DF14" s="27"/>
      <c r="DG14" s="27"/>
      <c r="DH14" s="27"/>
      <c r="DI14" s="27"/>
      <c r="DJ14" s="27"/>
      <c r="DK14" s="27"/>
      <c r="DL14" s="27"/>
      <c r="DM14" s="27"/>
      <c r="DN14" s="28"/>
    </row>
    <row r="15" spans="1:120" ht="12" customHeight="1" x14ac:dyDescent="0.2">
      <c r="A15" s="4"/>
      <c r="B15" s="4"/>
      <c r="C15" s="60"/>
      <c r="D15" s="60"/>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4"/>
      <c r="BO15" s="68" t="s">
        <v>69</v>
      </c>
      <c r="BP15" s="68"/>
      <c r="BQ15" s="68"/>
      <c r="BR15" s="68"/>
      <c r="BS15" s="68"/>
      <c r="BT15" s="68"/>
      <c r="BU15" s="68"/>
      <c r="BV15" s="68"/>
      <c r="BW15" s="68"/>
      <c r="BX15" s="68"/>
      <c r="BY15" s="68"/>
      <c r="BZ15" s="68"/>
      <c r="CA15" s="82"/>
      <c r="CB15" s="83"/>
      <c r="CC15" s="83"/>
      <c r="CD15" s="83"/>
      <c r="CE15" s="83"/>
      <c r="CF15" s="83"/>
      <c r="CG15" s="84"/>
      <c r="CH15" s="82"/>
      <c r="CI15" s="83"/>
      <c r="CJ15" s="83"/>
      <c r="CK15" s="83"/>
      <c r="CL15" s="83"/>
      <c r="CM15" s="83"/>
      <c r="CN15" s="84"/>
      <c r="CO15" s="82"/>
      <c r="CP15" s="83"/>
      <c r="CQ15" s="83"/>
      <c r="CR15" s="83"/>
      <c r="CS15" s="83"/>
      <c r="CT15" s="83"/>
      <c r="CU15" s="84"/>
      <c r="CV15" s="82"/>
      <c r="CW15" s="83"/>
      <c r="CX15" s="83"/>
      <c r="CY15" s="83"/>
      <c r="CZ15" s="83"/>
      <c r="DA15" s="83"/>
      <c r="DB15" s="84"/>
      <c r="DC15" s="26" t="str">
        <f t="shared" ref="DC15:DC23" si="0">IFERROR(ROUND(100*(CO15-CV15)/(CH15-CA15),5),"--")</f>
        <v>--</v>
      </c>
      <c r="DD15" s="27"/>
      <c r="DE15" s="27"/>
      <c r="DF15" s="27"/>
      <c r="DG15" s="27"/>
      <c r="DH15" s="27"/>
      <c r="DI15" s="27"/>
      <c r="DJ15" s="27"/>
      <c r="DK15" s="27"/>
      <c r="DL15" s="27"/>
      <c r="DM15" s="27"/>
      <c r="DN15" s="28"/>
    </row>
    <row r="16" spans="1:120" ht="12" customHeight="1" x14ac:dyDescent="0.2">
      <c r="BO16" s="68" t="s">
        <v>68</v>
      </c>
      <c r="BP16" s="68"/>
      <c r="BQ16" s="68"/>
      <c r="BR16" s="68"/>
      <c r="BS16" s="68"/>
      <c r="BT16" s="68"/>
      <c r="BU16" s="68"/>
      <c r="BV16" s="68"/>
      <c r="BW16" s="68"/>
      <c r="BX16" s="68"/>
      <c r="BY16" s="68"/>
      <c r="BZ16" s="68"/>
      <c r="CA16" s="82"/>
      <c r="CB16" s="83"/>
      <c r="CC16" s="83"/>
      <c r="CD16" s="83"/>
      <c r="CE16" s="83"/>
      <c r="CF16" s="83"/>
      <c r="CG16" s="84"/>
      <c r="CH16" s="82"/>
      <c r="CI16" s="83"/>
      <c r="CJ16" s="83"/>
      <c r="CK16" s="83"/>
      <c r="CL16" s="83"/>
      <c r="CM16" s="83"/>
      <c r="CN16" s="84"/>
      <c r="CO16" s="82"/>
      <c r="CP16" s="83"/>
      <c r="CQ16" s="83"/>
      <c r="CR16" s="83"/>
      <c r="CS16" s="83"/>
      <c r="CT16" s="83"/>
      <c r="CU16" s="84"/>
      <c r="CV16" s="82"/>
      <c r="CW16" s="83"/>
      <c r="CX16" s="83"/>
      <c r="CY16" s="83"/>
      <c r="CZ16" s="83"/>
      <c r="DA16" s="83"/>
      <c r="DB16" s="84"/>
      <c r="DC16" s="26" t="str">
        <f t="shared" si="0"/>
        <v>--</v>
      </c>
      <c r="DD16" s="27"/>
      <c r="DE16" s="27"/>
      <c r="DF16" s="27"/>
      <c r="DG16" s="27"/>
      <c r="DH16" s="27"/>
      <c r="DI16" s="27"/>
      <c r="DJ16" s="27"/>
      <c r="DK16" s="27"/>
      <c r="DL16" s="27"/>
      <c r="DM16" s="27"/>
      <c r="DN16" s="28"/>
    </row>
    <row r="17" spans="1:118" ht="12" customHeight="1" x14ac:dyDescent="0.2">
      <c r="BO17" s="68" t="s">
        <v>67</v>
      </c>
      <c r="BP17" s="68"/>
      <c r="BQ17" s="68"/>
      <c r="BR17" s="68"/>
      <c r="BS17" s="68"/>
      <c r="BT17" s="68"/>
      <c r="BU17" s="68"/>
      <c r="BV17" s="68"/>
      <c r="BW17" s="68"/>
      <c r="BX17" s="68"/>
      <c r="BY17" s="68"/>
      <c r="BZ17" s="68"/>
      <c r="CA17" s="82"/>
      <c r="CB17" s="83"/>
      <c r="CC17" s="83"/>
      <c r="CD17" s="83"/>
      <c r="CE17" s="83"/>
      <c r="CF17" s="83"/>
      <c r="CG17" s="84"/>
      <c r="CH17" s="82"/>
      <c r="CI17" s="83"/>
      <c r="CJ17" s="83"/>
      <c r="CK17" s="83"/>
      <c r="CL17" s="83"/>
      <c r="CM17" s="83"/>
      <c r="CN17" s="84"/>
      <c r="CO17" s="82"/>
      <c r="CP17" s="83"/>
      <c r="CQ17" s="83"/>
      <c r="CR17" s="83"/>
      <c r="CS17" s="83"/>
      <c r="CT17" s="83"/>
      <c r="CU17" s="84"/>
      <c r="CV17" s="82"/>
      <c r="CW17" s="83"/>
      <c r="CX17" s="83"/>
      <c r="CY17" s="83"/>
      <c r="CZ17" s="83"/>
      <c r="DA17" s="83"/>
      <c r="DB17" s="84"/>
      <c r="DC17" s="26" t="str">
        <f t="shared" si="0"/>
        <v>--</v>
      </c>
      <c r="DD17" s="27"/>
      <c r="DE17" s="27"/>
      <c r="DF17" s="27"/>
      <c r="DG17" s="27"/>
      <c r="DH17" s="27"/>
      <c r="DI17" s="27"/>
      <c r="DJ17" s="27"/>
      <c r="DK17" s="27"/>
      <c r="DL17" s="27"/>
      <c r="DM17" s="27"/>
      <c r="DN17" s="28"/>
    </row>
    <row r="18" spans="1:118" ht="12" customHeight="1" x14ac:dyDescent="0.2">
      <c r="BO18" s="68" t="s">
        <v>66</v>
      </c>
      <c r="BP18" s="68"/>
      <c r="BQ18" s="68"/>
      <c r="BR18" s="68"/>
      <c r="BS18" s="68"/>
      <c r="BT18" s="68"/>
      <c r="BU18" s="68"/>
      <c r="BV18" s="68"/>
      <c r="BW18" s="68"/>
      <c r="BX18" s="68"/>
      <c r="BY18" s="68"/>
      <c r="BZ18" s="68"/>
      <c r="CA18" s="82"/>
      <c r="CB18" s="83"/>
      <c r="CC18" s="83"/>
      <c r="CD18" s="83"/>
      <c r="CE18" s="83"/>
      <c r="CF18" s="83"/>
      <c r="CG18" s="84"/>
      <c r="CH18" s="82"/>
      <c r="CI18" s="83"/>
      <c r="CJ18" s="83"/>
      <c r="CK18" s="83"/>
      <c r="CL18" s="83"/>
      <c r="CM18" s="83"/>
      <c r="CN18" s="84"/>
      <c r="CO18" s="82"/>
      <c r="CP18" s="83"/>
      <c r="CQ18" s="83"/>
      <c r="CR18" s="83"/>
      <c r="CS18" s="83"/>
      <c r="CT18" s="83"/>
      <c r="CU18" s="84"/>
      <c r="CV18" s="82"/>
      <c r="CW18" s="83"/>
      <c r="CX18" s="83"/>
      <c r="CY18" s="83"/>
      <c r="CZ18" s="83"/>
      <c r="DA18" s="83"/>
      <c r="DB18" s="84"/>
      <c r="DC18" s="26" t="str">
        <f t="shared" si="0"/>
        <v>--</v>
      </c>
      <c r="DD18" s="27"/>
      <c r="DE18" s="27"/>
      <c r="DF18" s="27"/>
      <c r="DG18" s="27"/>
      <c r="DH18" s="27"/>
      <c r="DI18" s="27"/>
      <c r="DJ18" s="27"/>
      <c r="DK18" s="27"/>
      <c r="DL18" s="27"/>
      <c r="DM18" s="27"/>
      <c r="DN18" s="28"/>
    </row>
    <row r="19" spans="1:118" ht="12" customHeight="1" x14ac:dyDescent="0.2">
      <c r="BO19" s="68" t="s">
        <v>65</v>
      </c>
      <c r="BP19" s="68"/>
      <c r="BQ19" s="68"/>
      <c r="BR19" s="68"/>
      <c r="BS19" s="68"/>
      <c r="BT19" s="68"/>
      <c r="BU19" s="68"/>
      <c r="BV19" s="68"/>
      <c r="BW19" s="68"/>
      <c r="BX19" s="68"/>
      <c r="BY19" s="68"/>
      <c r="BZ19" s="68"/>
      <c r="CA19" s="82"/>
      <c r="CB19" s="83"/>
      <c r="CC19" s="83"/>
      <c r="CD19" s="83"/>
      <c r="CE19" s="83"/>
      <c r="CF19" s="83"/>
      <c r="CG19" s="84"/>
      <c r="CH19" s="82"/>
      <c r="CI19" s="83"/>
      <c r="CJ19" s="83"/>
      <c r="CK19" s="83"/>
      <c r="CL19" s="83"/>
      <c r="CM19" s="83"/>
      <c r="CN19" s="84"/>
      <c r="CO19" s="82"/>
      <c r="CP19" s="83"/>
      <c r="CQ19" s="83"/>
      <c r="CR19" s="83"/>
      <c r="CS19" s="83"/>
      <c r="CT19" s="83"/>
      <c r="CU19" s="84"/>
      <c r="CV19" s="82"/>
      <c r="CW19" s="83"/>
      <c r="CX19" s="83"/>
      <c r="CY19" s="83"/>
      <c r="CZ19" s="83"/>
      <c r="DA19" s="83"/>
      <c r="DB19" s="84"/>
      <c r="DC19" s="26" t="str">
        <f t="shared" si="0"/>
        <v>--</v>
      </c>
      <c r="DD19" s="27"/>
      <c r="DE19" s="27"/>
      <c r="DF19" s="27"/>
      <c r="DG19" s="27"/>
      <c r="DH19" s="27"/>
      <c r="DI19" s="27"/>
      <c r="DJ19" s="27"/>
      <c r="DK19" s="27"/>
      <c r="DL19" s="27"/>
      <c r="DM19" s="27"/>
      <c r="DN19" s="28"/>
    </row>
    <row r="20" spans="1:118" ht="12" customHeight="1" x14ac:dyDescent="0.2">
      <c r="BO20" s="68" t="s">
        <v>64</v>
      </c>
      <c r="BP20" s="68"/>
      <c r="BQ20" s="68"/>
      <c r="BR20" s="68"/>
      <c r="BS20" s="68"/>
      <c r="BT20" s="68"/>
      <c r="BU20" s="68"/>
      <c r="BV20" s="68"/>
      <c r="BW20" s="68"/>
      <c r="BX20" s="68"/>
      <c r="BY20" s="68"/>
      <c r="BZ20" s="68"/>
      <c r="CA20" s="82"/>
      <c r="CB20" s="83"/>
      <c r="CC20" s="83"/>
      <c r="CD20" s="83"/>
      <c r="CE20" s="83"/>
      <c r="CF20" s="83"/>
      <c r="CG20" s="84"/>
      <c r="CH20" s="82"/>
      <c r="CI20" s="83"/>
      <c r="CJ20" s="83"/>
      <c r="CK20" s="83"/>
      <c r="CL20" s="83"/>
      <c r="CM20" s="83"/>
      <c r="CN20" s="84"/>
      <c r="CO20" s="82"/>
      <c r="CP20" s="83"/>
      <c r="CQ20" s="83"/>
      <c r="CR20" s="83"/>
      <c r="CS20" s="83"/>
      <c r="CT20" s="83"/>
      <c r="CU20" s="84"/>
      <c r="CV20" s="82"/>
      <c r="CW20" s="83"/>
      <c r="CX20" s="83"/>
      <c r="CY20" s="83"/>
      <c r="CZ20" s="83"/>
      <c r="DA20" s="83"/>
      <c r="DB20" s="84"/>
      <c r="DC20" s="26" t="str">
        <f t="shared" si="0"/>
        <v>--</v>
      </c>
      <c r="DD20" s="27"/>
      <c r="DE20" s="27"/>
      <c r="DF20" s="27"/>
      <c r="DG20" s="27"/>
      <c r="DH20" s="27"/>
      <c r="DI20" s="27"/>
      <c r="DJ20" s="27"/>
      <c r="DK20" s="27"/>
      <c r="DL20" s="27"/>
      <c r="DM20" s="27"/>
      <c r="DN20" s="28"/>
    </row>
    <row r="21" spans="1:118" ht="12" customHeight="1" x14ac:dyDescent="0.2">
      <c r="BO21" s="68" t="s">
        <v>63</v>
      </c>
      <c r="BP21" s="68"/>
      <c r="BQ21" s="68"/>
      <c r="BR21" s="68"/>
      <c r="BS21" s="68"/>
      <c r="BT21" s="68"/>
      <c r="BU21" s="68"/>
      <c r="BV21" s="68"/>
      <c r="BW21" s="68"/>
      <c r="BX21" s="68"/>
      <c r="BY21" s="68"/>
      <c r="BZ21" s="68"/>
      <c r="CA21" s="82"/>
      <c r="CB21" s="83"/>
      <c r="CC21" s="83"/>
      <c r="CD21" s="83"/>
      <c r="CE21" s="83"/>
      <c r="CF21" s="83"/>
      <c r="CG21" s="84"/>
      <c r="CH21" s="82"/>
      <c r="CI21" s="83"/>
      <c r="CJ21" s="83"/>
      <c r="CK21" s="83"/>
      <c r="CL21" s="83"/>
      <c r="CM21" s="83"/>
      <c r="CN21" s="84"/>
      <c r="CO21" s="82"/>
      <c r="CP21" s="83"/>
      <c r="CQ21" s="83"/>
      <c r="CR21" s="83"/>
      <c r="CS21" s="83"/>
      <c r="CT21" s="83"/>
      <c r="CU21" s="84"/>
      <c r="CV21" s="82"/>
      <c r="CW21" s="83"/>
      <c r="CX21" s="83"/>
      <c r="CY21" s="83"/>
      <c r="CZ21" s="83"/>
      <c r="DA21" s="83"/>
      <c r="DB21" s="84"/>
      <c r="DC21" s="26" t="str">
        <f t="shared" si="0"/>
        <v>--</v>
      </c>
      <c r="DD21" s="27"/>
      <c r="DE21" s="27"/>
      <c r="DF21" s="27"/>
      <c r="DG21" s="27"/>
      <c r="DH21" s="27"/>
      <c r="DI21" s="27"/>
      <c r="DJ21" s="27"/>
      <c r="DK21" s="27"/>
      <c r="DL21" s="27"/>
      <c r="DM21" s="27"/>
      <c r="DN21" s="28"/>
    </row>
    <row r="22" spans="1:118" ht="12" customHeight="1" x14ac:dyDescent="0.2">
      <c r="BO22" s="68" t="s">
        <v>62</v>
      </c>
      <c r="BP22" s="68"/>
      <c r="BQ22" s="68"/>
      <c r="BR22" s="68"/>
      <c r="BS22" s="68"/>
      <c r="BT22" s="68"/>
      <c r="BU22" s="68"/>
      <c r="BV22" s="68"/>
      <c r="BW22" s="68"/>
      <c r="BX22" s="68"/>
      <c r="BY22" s="68"/>
      <c r="BZ22" s="68"/>
      <c r="CA22" s="82"/>
      <c r="CB22" s="83"/>
      <c r="CC22" s="83"/>
      <c r="CD22" s="83"/>
      <c r="CE22" s="83"/>
      <c r="CF22" s="83"/>
      <c r="CG22" s="84"/>
      <c r="CH22" s="82"/>
      <c r="CI22" s="83"/>
      <c r="CJ22" s="83"/>
      <c r="CK22" s="83"/>
      <c r="CL22" s="83"/>
      <c r="CM22" s="83"/>
      <c r="CN22" s="84"/>
      <c r="CO22" s="82"/>
      <c r="CP22" s="83"/>
      <c r="CQ22" s="83"/>
      <c r="CR22" s="83"/>
      <c r="CS22" s="83"/>
      <c r="CT22" s="83"/>
      <c r="CU22" s="84"/>
      <c r="CV22" s="82"/>
      <c r="CW22" s="83"/>
      <c r="CX22" s="83"/>
      <c r="CY22" s="83"/>
      <c r="CZ22" s="83"/>
      <c r="DA22" s="83"/>
      <c r="DB22" s="84"/>
      <c r="DC22" s="26" t="str">
        <f t="shared" si="0"/>
        <v>--</v>
      </c>
      <c r="DD22" s="27"/>
      <c r="DE22" s="27"/>
      <c r="DF22" s="27"/>
      <c r="DG22" s="27"/>
      <c r="DH22" s="27"/>
      <c r="DI22" s="27"/>
      <c r="DJ22" s="27"/>
      <c r="DK22" s="27"/>
      <c r="DL22" s="27"/>
      <c r="DM22" s="27"/>
      <c r="DN22" s="28"/>
    </row>
    <row r="23" spans="1:118" ht="12" customHeight="1" x14ac:dyDescent="0.2">
      <c r="BO23" s="68" t="s">
        <v>61</v>
      </c>
      <c r="BP23" s="68"/>
      <c r="BQ23" s="68"/>
      <c r="BR23" s="68"/>
      <c r="BS23" s="68"/>
      <c r="BT23" s="68"/>
      <c r="BU23" s="68"/>
      <c r="BV23" s="68"/>
      <c r="BW23" s="68"/>
      <c r="BX23" s="68"/>
      <c r="BY23" s="68"/>
      <c r="BZ23" s="68"/>
      <c r="CA23" s="82"/>
      <c r="CB23" s="83"/>
      <c r="CC23" s="83"/>
      <c r="CD23" s="83"/>
      <c r="CE23" s="83"/>
      <c r="CF23" s="83"/>
      <c r="CG23" s="84"/>
      <c r="CH23" s="82"/>
      <c r="CI23" s="83"/>
      <c r="CJ23" s="83"/>
      <c r="CK23" s="83"/>
      <c r="CL23" s="83"/>
      <c r="CM23" s="83"/>
      <c r="CN23" s="84"/>
      <c r="CO23" s="82"/>
      <c r="CP23" s="83"/>
      <c r="CQ23" s="83"/>
      <c r="CR23" s="83"/>
      <c r="CS23" s="83"/>
      <c r="CT23" s="83"/>
      <c r="CU23" s="84"/>
      <c r="CV23" s="82"/>
      <c r="CW23" s="83"/>
      <c r="CX23" s="83"/>
      <c r="CY23" s="83"/>
      <c r="CZ23" s="83"/>
      <c r="DA23" s="83"/>
      <c r="DB23" s="84"/>
      <c r="DC23" s="26" t="str">
        <f t="shared" si="0"/>
        <v>--</v>
      </c>
      <c r="DD23" s="27"/>
      <c r="DE23" s="27"/>
      <c r="DF23" s="27"/>
      <c r="DG23" s="27"/>
      <c r="DH23" s="27"/>
      <c r="DI23" s="27"/>
      <c r="DJ23" s="27"/>
      <c r="DK23" s="27"/>
      <c r="DL23" s="27"/>
      <c r="DM23" s="27"/>
      <c r="DN23" s="28"/>
    </row>
    <row r="24" spans="1:118" ht="12" customHeight="1" x14ac:dyDescent="0.2">
      <c r="BO24" s="85" t="s">
        <v>60</v>
      </c>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c r="CY24" s="85"/>
      <c r="CZ24" s="85"/>
      <c r="DA24" s="85"/>
      <c r="DB24" s="86"/>
      <c r="DC24" s="79" t="str">
        <f>IFERROR(ROUND(AVERAGE(DC14:DC23),3),"--")</f>
        <v>--</v>
      </c>
      <c r="DD24" s="80"/>
      <c r="DE24" s="80"/>
      <c r="DF24" s="80"/>
      <c r="DG24" s="80"/>
      <c r="DH24" s="80"/>
      <c r="DI24" s="80"/>
      <c r="DJ24" s="80"/>
      <c r="DK24" s="80"/>
      <c r="DL24" s="80"/>
      <c r="DM24" s="80"/>
      <c r="DN24" s="81"/>
    </row>
    <row r="25" spans="1:118" ht="12" customHeight="1" x14ac:dyDescent="0.2">
      <c r="BO25" s="87" t="s">
        <v>59</v>
      </c>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c r="CY25" s="87"/>
      <c r="CZ25" s="87"/>
      <c r="DA25" s="87"/>
      <c r="DB25" s="86"/>
      <c r="DC25" s="79" t="str">
        <f>IFERROR(ROUND(STDEV(DC14:DC23),3),"--")</f>
        <v>--</v>
      </c>
      <c r="DD25" s="80"/>
      <c r="DE25" s="80"/>
      <c r="DF25" s="80"/>
      <c r="DG25" s="80"/>
      <c r="DH25" s="80"/>
      <c r="DI25" s="80"/>
      <c r="DJ25" s="80"/>
      <c r="DK25" s="80"/>
      <c r="DL25" s="80"/>
      <c r="DM25" s="80"/>
      <c r="DN25" s="81"/>
    </row>
    <row r="26" spans="1:118" ht="12" customHeight="1" x14ac:dyDescent="0.2">
      <c r="BL26" s="53" t="s">
        <v>58</v>
      </c>
      <c r="BM26" s="53"/>
      <c r="BN26" s="53"/>
      <c r="BO26" s="53" t="s">
        <v>57</v>
      </c>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row>
    <row r="27" spans="1:118" ht="12" customHeight="1" x14ac:dyDescent="0.25">
      <c r="C27" s="60" t="str">
        <f>"4."</f>
        <v>4.</v>
      </c>
      <c r="D27" s="60"/>
      <c r="E27" s="61" t="s">
        <v>56</v>
      </c>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O27" s="54" t="s">
        <v>35</v>
      </c>
      <c r="BP27" s="55"/>
      <c r="BQ27" s="55"/>
      <c r="BR27" s="55"/>
      <c r="BS27" s="55"/>
      <c r="BT27" s="55"/>
      <c r="BU27" s="55"/>
      <c r="BV27" s="55"/>
      <c r="BW27" s="55"/>
      <c r="BX27" s="55"/>
      <c r="BY27" s="55"/>
      <c r="BZ27" s="55"/>
      <c r="CA27" s="55"/>
      <c r="CB27" s="56"/>
      <c r="CC27" s="54" t="s">
        <v>32</v>
      </c>
      <c r="CD27" s="55"/>
      <c r="CE27" s="55"/>
      <c r="CF27" s="55"/>
      <c r="CG27" s="55"/>
      <c r="CH27" s="55"/>
      <c r="CI27" s="55"/>
      <c r="CJ27" s="56"/>
      <c r="CK27" s="54" t="s">
        <v>44</v>
      </c>
      <c r="CL27" s="55"/>
      <c r="CM27" s="55"/>
      <c r="CN27" s="55"/>
      <c r="CO27" s="55"/>
      <c r="CP27" s="55"/>
      <c r="CQ27" s="55"/>
      <c r="CR27" s="56"/>
      <c r="CS27" s="54" t="s">
        <v>55</v>
      </c>
      <c r="CT27" s="55"/>
      <c r="CU27" s="55"/>
      <c r="CV27" s="55"/>
      <c r="CW27" s="55"/>
      <c r="CX27" s="55"/>
      <c r="CY27" s="55"/>
      <c r="CZ27" s="56"/>
      <c r="DA27" s="54" t="s">
        <v>54</v>
      </c>
      <c r="DB27" s="55"/>
      <c r="DC27" s="55"/>
      <c r="DD27" s="55"/>
      <c r="DE27" s="55"/>
      <c r="DF27" s="55"/>
      <c r="DG27" s="55"/>
      <c r="DH27" s="55"/>
      <c r="DI27" s="55"/>
      <c r="DJ27" s="55"/>
      <c r="DK27" s="55"/>
      <c r="DL27" s="55"/>
      <c r="DM27" s="55"/>
      <c r="DN27" s="56"/>
    </row>
    <row r="28" spans="1:118" ht="12" customHeight="1" x14ac:dyDescent="0.2">
      <c r="A28" s="4"/>
      <c r="B28" s="4"/>
      <c r="C28" s="60"/>
      <c r="D28" s="60"/>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4"/>
      <c r="BO28" s="23" t="str">
        <f>E51</f>
        <v>Repeatability</v>
      </c>
      <c r="BP28" s="24"/>
      <c r="BQ28" s="24"/>
      <c r="BR28" s="24"/>
      <c r="BS28" s="24"/>
      <c r="BT28" s="24"/>
      <c r="BU28" s="24"/>
      <c r="BV28" s="24"/>
      <c r="BW28" s="24"/>
      <c r="BX28" s="24"/>
      <c r="BY28" s="24"/>
      <c r="BZ28" s="24"/>
      <c r="CA28" s="24"/>
      <c r="CB28" s="25"/>
      <c r="CC28" s="26" t="str">
        <f>AR51</f>
        <v>%</v>
      </c>
      <c r="CD28" s="27"/>
      <c r="CE28" s="27"/>
      <c r="CF28" s="27"/>
      <c r="CG28" s="27"/>
      <c r="CH28" s="27"/>
      <c r="CI28" s="27"/>
      <c r="CJ28" s="28"/>
      <c r="CK28" s="57" t="str">
        <f>IFERROR(ROUND(DC25/SQRT(COUNT(DC14:DC23)),5),"--")</f>
        <v>--</v>
      </c>
      <c r="CL28" s="58"/>
      <c r="CM28" s="58"/>
      <c r="CN28" s="58"/>
      <c r="CO28" s="58"/>
      <c r="CP28" s="58"/>
      <c r="CQ28" s="58"/>
      <c r="CR28" s="59"/>
      <c r="CS28" s="26">
        <v>1</v>
      </c>
      <c r="CT28" s="27"/>
      <c r="CU28" s="27"/>
      <c r="CV28" s="27"/>
      <c r="CW28" s="27"/>
      <c r="CX28" s="27"/>
      <c r="CY28" s="27"/>
      <c r="CZ28" s="28"/>
      <c r="DA28" s="29" t="str">
        <f>IFERROR(ROUND(CK28/IF(CS28=1,1,SQRT(3)),7),"--")</f>
        <v>--</v>
      </c>
      <c r="DB28" s="30"/>
      <c r="DC28" s="30"/>
      <c r="DD28" s="30"/>
      <c r="DE28" s="30"/>
      <c r="DF28" s="30"/>
      <c r="DG28" s="30"/>
      <c r="DH28" s="30"/>
      <c r="DI28" s="30"/>
      <c r="DJ28" s="30"/>
      <c r="DK28" s="30"/>
      <c r="DL28" s="30"/>
      <c r="DM28" s="30"/>
      <c r="DN28" s="31"/>
    </row>
    <row r="29" spans="1:118" ht="12" customHeight="1" x14ac:dyDescent="0.2">
      <c r="BO29" s="23" t="str">
        <f>E53</f>
        <v>Balance Readability</v>
      </c>
      <c r="BP29" s="24"/>
      <c r="BQ29" s="24"/>
      <c r="BR29" s="24"/>
      <c r="BS29" s="24"/>
      <c r="BT29" s="24"/>
      <c r="BU29" s="24"/>
      <c r="BV29" s="24"/>
      <c r="BW29" s="24"/>
      <c r="BX29" s="24"/>
      <c r="BY29" s="24"/>
      <c r="BZ29" s="24"/>
      <c r="CA29" s="24"/>
      <c r="CB29" s="25"/>
      <c r="CC29" s="26" t="str">
        <f>AR53</f>
        <v>g</v>
      </c>
      <c r="CD29" s="27"/>
      <c r="CE29" s="27"/>
      <c r="CF29" s="27"/>
      <c r="CG29" s="27"/>
      <c r="CH29" s="27"/>
      <c r="CI29" s="27"/>
      <c r="CJ29" s="28"/>
      <c r="CK29" s="26">
        <v>1E-4</v>
      </c>
      <c r="CL29" s="27"/>
      <c r="CM29" s="27"/>
      <c r="CN29" s="27"/>
      <c r="CO29" s="27"/>
      <c r="CP29" s="27"/>
      <c r="CQ29" s="27"/>
      <c r="CR29" s="28"/>
      <c r="CS29" s="26" t="s">
        <v>53</v>
      </c>
      <c r="CT29" s="27"/>
      <c r="CU29" s="27"/>
      <c r="CV29" s="27"/>
      <c r="CW29" s="27"/>
      <c r="CX29" s="27"/>
      <c r="CY29" s="27"/>
      <c r="CZ29" s="28"/>
      <c r="DA29" s="29">
        <f>IFERROR(ROUND(CK29/IF(CS29=1,1,SQRT(3)),7),"--")</f>
        <v>5.77E-5</v>
      </c>
      <c r="DB29" s="30"/>
      <c r="DC29" s="30"/>
      <c r="DD29" s="30"/>
      <c r="DE29" s="30"/>
      <c r="DF29" s="30"/>
      <c r="DG29" s="30"/>
      <c r="DH29" s="30"/>
      <c r="DI29" s="30"/>
      <c r="DJ29" s="30"/>
      <c r="DK29" s="30"/>
      <c r="DL29" s="30"/>
      <c r="DM29" s="30"/>
      <c r="DN29" s="31"/>
    </row>
    <row r="30" spans="1:118" ht="12" customHeight="1" x14ac:dyDescent="0.2">
      <c r="BO30" s="23" t="str">
        <f>E55</f>
        <v>Weighing Drift</v>
      </c>
      <c r="BP30" s="24"/>
      <c r="BQ30" s="24"/>
      <c r="BR30" s="24"/>
      <c r="BS30" s="24"/>
      <c r="BT30" s="24"/>
      <c r="BU30" s="24"/>
      <c r="BV30" s="24"/>
      <c r="BW30" s="24"/>
      <c r="BX30" s="24"/>
      <c r="BY30" s="24"/>
      <c r="BZ30" s="24"/>
      <c r="CA30" s="24"/>
      <c r="CB30" s="25"/>
      <c r="CC30" s="26" t="str">
        <f>AR55</f>
        <v>g</v>
      </c>
      <c r="CD30" s="27"/>
      <c r="CE30" s="27"/>
      <c r="CF30" s="27"/>
      <c r="CG30" s="27"/>
      <c r="CH30" s="27"/>
      <c r="CI30" s="27"/>
      <c r="CJ30" s="28"/>
      <c r="CK30" s="26">
        <v>2.0000000000000001E-4</v>
      </c>
      <c r="CL30" s="27"/>
      <c r="CM30" s="27"/>
      <c r="CN30" s="27"/>
      <c r="CO30" s="27"/>
      <c r="CP30" s="27"/>
      <c r="CQ30" s="27"/>
      <c r="CR30" s="28"/>
      <c r="CS30" s="26" t="s">
        <v>53</v>
      </c>
      <c r="CT30" s="27"/>
      <c r="CU30" s="27"/>
      <c r="CV30" s="27"/>
      <c r="CW30" s="27"/>
      <c r="CX30" s="27"/>
      <c r="CY30" s="27"/>
      <c r="CZ30" s="28"/>
      <c r="DA30" s="29">
        <f>IFERROR(ROUND(CK30/IF(CS30=1,1,SQRT(3)),7),"--")</f>
        <v>1.155E-4</v>
      </c>
      <c r="DB30" s="30"/>
      <c r="DC30" s="30"/>
      <c r="DD30" s="30"/>
      <c r="DE30" s="30"/>
      <c r="DF30" s="30"/>
      <c r="DG30" s="30"/>
      <c r="DH30" s="30"/>
      <c r="DI30" s="30"/>
      <c r="DJ30" s="30"/>
      <c r="DK30" s="30"/>
      <c r="DL30" s="30"/>
      <c r="DM30" s="30"/>
      <c r="DN30" s="31"/>
    </row>
    <row r="31" spans="1:118" ht="12" customHeight="1" x14ac:dyDescent="0.2">
      <c r="BO31" s="23" t="str">
        <f>E57</f>
        <v>Crucible Stability</v>
      </c>
      <c r="BP31" s="24"/>
      <c r="BQ31" s="24"/>
      <c r="BR31" s="24"/>
      <c r="BS31" s="24"/>
      <c r="BT31" s="24"/>
      <c r="BU31" s="24"/>
      <c r="BV31" s="24"/>
      <c r="BW31" s="24"/>
      <c r="BX31" s="24"/>
      <c r="BY31" s="24"/>
      <c r="BZ31" s="24"/>
      <c r="CA31" s="24"/>
      <c r="CB31" s="25"/>
      <c r="CC31" s="26" t="str">
        <f>AR57</f>
        <v>g</v>
      </c>
      <c r="CD31" s="27"/>
      <c r="CE31" s="27"/>
      <c r="CF31" s="27"/>
      <c r="CG31" s="27"/>
      <c r="CH31" s="27"/>
      <c r="CI31" s="27"/>
      <c r="CJ31" s="28"/>
      <c r="CK31" s="26">
        <v>5.0000000000000001E-4</v>
      </c>
      <c r="CL31" s="27"/>
      <c r="CM31" s="27"/>
      <c r="CN31" s="27"/>
      <c r="CO31" s="27"/>
      <c r="CP31" s="27"/>
      <c r="CQ31" s="27"/>
      <c r="CR31" s="28"/>
      <c r="CS31" s="26" t="s">
        <v>53</v>
      </c>
      <c r="CT31" s="27"/>
      <c r="CU31" s="27"/>
      <c r="CV31" s="27"/>
      <c r="CW31" s="27"/>
      <c r="CX31" s="27"/>
      <c r="CY31" s="27"/>
      <c r="CZ31" s="28"/>
      <c r="DA31" s="29">
        <f>IFERROR(ROUND(CK31/IF(CS31=1,1,SQRT(3)),7),"--")</f>
        <v>2.8870000000000002E-4</v>
      </c>
      <c r="DB31" s="30"/>
      <c r="DC31" s="30"/>
      <c r="DD31" s="30"/>
      <c r="DE31" s="30"/>
      <c r="DF31" s="30"/>
      <c r="DG31" s="30"/>
      <c r="DH31" s="30"/>
      <c r="DI31" s="30"/>
      <c r="DJ31" s="30"/>
      <c r="DK31" s="30"/>
      <c r="DL31" s="30"/>
      <c r="DM31" s="30"/>
      <c r="DN31" s="31"/>
    </row>
    <row r="32" spans="1:118" ht="12" customHeight="1" x14ac:dyDescent="0.2">
      <c r="BO32" s="23" t="str">
        <f>E59</f>
        <v>Furnace Temperature</v>
      </c>
      <c r="BP32" s="24"/>
      <c r="BQ32" s="24"/>
      <c r="BR32" s="24"/>
      <c r="BS32" s="24"/>
      <c r="BT32" s="24"/>
      <c r="BU32" s="24"/>
      <c r="BV32" s="24"/>
      <c r="BW32" s="24"/>
      <c r="BX32" s="24"/>
      <c r="BY32" s="24"/>
      <c r="BZ32" s="24"/>
      <c r="CA32" s="24"/>
      <c r="CB32" s="25"/>
      <c r="CC32" s="26" t="str">
        <f>AR59</f>
        <v>°C</v>
      </c>
      <c r="CD32" s="27"/>
      <c r="CE32" s="27"/>
      <c r="CF32" s="27"/>
      <c r="CG32" s="27"/>
      <c r="CH32" s="27"/>
      <c r="CI32" s="27"/>
      <c r="CJ32" s="28"/>
      <c r="CK32" s="26">
        <v>0.1</v>
      </c>
      <c r="CL32" s="27"/>
      <c r="CM32" s="27"/>
      <c r="CN32" s="27"/>
      <c r="CO32" s="27"/>
      <c r="CP32" s="27"/>
      <c r="CQ32" s="27"/>
      <c r="CR32" s="28"/>
      <c r="CS32" s="26" t="s">
        <v>53</v>
      </c>
      <c r="CT32" s="27"/>
      <c r="CU32" s="27"/>
      <c r="CV32" s="27"/>
      <c r="CW32" s="27"/>
      <c r="CX32" s="27"/>
      <c r="CY32" s="27"/>
      <c r="CZ32" s="28"/>
      <c r="DA32" s="29">
        <f>IFERROR(ROUND(CK32/IF(CS32=1,1,SQRT(3)),7),"--")</f>
        <v>5.7735000000000002E-2</v>
      </c>
      <c r="DB32" s="30"/>
      <c r="DC32" s="30"/>
      <c r="DD32" s="30"/>
      <c r="DE32" s="30"/>
      <c r="DF32" s="30"/>
      <c r="DG32" s="30"/>
      <c r="DH32" s="30"/>
      <c r="DI32" s="30"/>
      <c r="DJ32" s="30"/>
      <c r="DK32" s="30"/>
      <c r="DL32" s="30"/>
      <c r="DM32" s="30"/>
      <c r="DN32" s="31"/>
    </row>
    <row r="33" spans="1:118" ht="12" customHeight="1" x14ac:dyDescent="0.2"/>
    <row r="34" spans="1:118" ht="12" customHeight="1" x14ac:dyDescent="0.25">
      <c r="BL34" s="53" t="s">
        <v>52</v>
      </c>
      <c r="BM34" s="53"/>
      <c r="BN34" s="53"/>
      <c r="BO34" s="53" t="s">
        <v>138</v>
      </c>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row>
    <row r="35" spans="1:118" ht="12" customHeight="1" x14ac:dyDescent="0.2">
      <c r="BO35" s="51" t="s">
        <v>51</v>
      </c>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row>
    <row r="36" spans="1:118" ht="12" customHeight="1" x14ac:dyDescent="0.2">
      <c r="BP36" s="7"/>
      <c r="BQ36" s="7"/>
      <c r="BR36" s="20"/>
      <c r="BS36" s="18"/>
      <c r="BT36" s="18"/>
      <c r="BU36" s="18"/>
      <c r="BV36" s="18"/>
      <c r="BW36" s="18"/>
      <c r="BX36" s="18"/>
      <c r="BY36" s="19"/>
      <c r="BZ36" s="19"/>
      <c r="CA36" s="9" t="s">
        <v>137</v>
      </c>
      <c r="CB36" s="32" t="str" cm="1">
        <f t="array" ref="CB36">IFERROR(ROUND(SQRT(SUM(POWER(DA28:DA32,2))),3),"--")</f>
        <v>--</v>
      </c>
      <c r="CC36" s="32"/>
      <c r="CD36" s="32"/>
      <c r="CE36" s="32"/>
      <c r="CF36" s="32"/>
      <c r="CG36" s="32"/>
      <c r="CH36" s="8"/>
      <c r="CI36" s="8"/>
      <c r="CJ36" s="8"/>
      <c r="CK36" s="8"/>
      <c r="CL36" s="8"/>
      <c r="CM36" s="8"/>
      <c r="CN36" s="8"/>
      <c r="CO36" s="7"/>
      <c r="CP36" s="7"/>
      <c r="CQ36" s="7"/>
      <c r="CR36" s="7"/>
      <c r="CS36" s="7"/>
      <c r="CT36" s="7"/>
      <c r="CU36" s="7"/>
      <c r="CV36" s="7"/>
      <c r="CW36" s="7"/>
      <c r="CX36" s="7"/>
      <c r="CY36" s="7"/>
      <c r="CZ36" s="7"/>
    </row>
    <row r="37" spans="1:118" ht="12" customHeight="1" x14ac:dyDescent="0.2"/>
    <row r="38" spans="1:118" ht="12" customHeight="1" x14ac:dyDescent="0.2">
      <c r="BL38" s="53" t="s">
        <v>50</v>
      </c>
      <c r="BM38" s="53"/>
      <c r="BN38" s="53"/>
      <c r="BO38" s="53" t="s">
        <v>139</v>
      </c>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row>
    <row r="39" spans="1:118" ht="12" customHeight="1" x14ac:dyDescent="0.2">
      <c r="BO39" s="51" t="s">
        <v>49</v>
      </c>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row>
    <row r="40" spans="1:118" ht="12" customHeight="1" x14ac:dyDescent="0.25">
      <c r="BT40" s="6" t="s">
        <v>48</v>
      </c>
      <c r="BU40" s="32" t="str">
        <f>IFERROR(CB36*2,"--")</f>
        <v>--</v>
      </c>
      <c r="BV40" s="32"/>
      <c r="BW40" s="32"/>
      <c r="BX40" s="32"/>
      <c r="BY40" s="32"/>
      <c r="BZ40" s="32"/>
    </row>
    <row r="41" spans="1:118" ht="12" customHeight="1" x14ac:dyDescent="0.2"/>
    <row r="42" spans="1:118" ht="12" customHeight="1" x14ac:dyDescent="0.2">
      <c r="BJ42" s="52" t="str">
        <f>"8."</f>
        <v>8.</v>
      </c>
      <c r="BK42" s="52"/>
      <c r="BL42" s="52" t="s">
        <v>47</v>
      </c>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row>
    <row r="43" spans="1:118" ht="12" customHeight="1" x14ac:dyDescent="0.2">
      <c r="A43" s="4"/>
      <c r="B43" s="4"/>
      <c r="C43" s="52" t="str">
        <f>"5."</f>
        <v>5.</v>
      </c>
      <c r="D43" s="52"/>
      <c r="E43" s="52" t="s">
        <v>46</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4"/>
      <c r="BL43" s="49" t="s">
        <v>45</v>
      </c>
      <c r="BM43" s="49"/>
      <c r="BN43" s="49"/>
      <c r="BO43" s="49"/>
      <c r="BP43" s="49"/>
      <c r="BQ43" s="49"/>
      <c r="BR43" s="49"/>
      <c r="BS43" s="49"/>
      <c r="BT43" s="49"/>
      <c r="BU43" s="49"/>
      <c r="BV43" s="49"/>
      <c r="BW43" s="49"/>
      <c r="BX43" s="49"/>
      <c r="BY43" s="49"/>
      <c r="BZ43" s="49"/>
      <c r="CA43" s="49"/>
      <c r="CB43" s="49"/>
      <c r="CC43" s="49"/>
      <c r="CD43" s="49"/>
      <c r="CE43" s="49"/>
      <c r="CF43" s="49"/>
      <c r="CG43" s="49" t="s">
        <v>44</v>
      </c>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row>
    <row r="44" spans="1:118" ht="12" customHeight="1" x14ac:dyDescent="0.2">
      <c r="E44" s="47" t="s">
        <v>43</v>
      </c>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L44" s="43" t="s">
        <v>42</v>
      </c>
      <c r="BM44" s="43"/>
      <c r="BN44" s="43"/>
      <c r="BO44" s="43"/>
      <c r="BP44" s="43"/>
      <c r="BQ44" s="43"/>
      <c r="BR44" s="43"/>
      <c r="BS44" s="43"/>
      <c r="BT44" s="43"/>
      <c r="BU44" s="43"/>
      <c r="BV44" s="43"/>
      <c r="BW44" s="43"/>
      <c r="BX44" s="43"/>
      <c r="BY44" s="43"/>
      <c r="BZ44" s="43"/>
      <c r="CA44" s="43"/>
      <c r="CB44" s="43"/>
      <c r="CC44" s="43"/>
      <c r="CD44" s="43"/>
      <c r="CE44" s="43"/>
      <c r="CF44" s="43"/>
      <c r="CG44" s="45" t="s">
        <v>123</v>
      </c>
      <c r="CH44" s="45"/>
      <c r="CI44" s="45"/>
      <c r="CJ44" s="45"/>
      <c r="CK44" s="45"/>
      <c r="CL44" s="45"/>
      <c r="CM44" s="45"/>
      <c r="CN44" s="45"/>
      <c r="CO44" s="45"/>
      <c r="CP44" s="45"/>
      <c r="CQ44" s="45"/>
      <c r="CR44" s="45"/>
      <c r="CS44" s="45"/>
      <c r="CT44" s="45"/>
      <c r="CU44" s="45"/>
      <c r="CV44" s="45"/>
      <c r="CW44" s="45"/>
      <c r="CX44" s="45"/>
      <c r="CY44" s="45"/>
      <c r="CZ44" s="45"/>
      <c r="DA44" s="45"/>
      <c r="DB44" s="45"/>
      <c r="DC44" s="45"/>
      <c r="DD44" s="45"/>
      <c r="DE44" s="45"/>
      <c r="DF44" s="45"/>
      <c r="DG44" s="45"/>
      <c r="DH44" s="45"/>
      <c r="DI44" s="45"/>
      <c r="DJ44" s="45"/>
      <c r="DK44" s="45"/>
      <c r="DL44" s="45"/>
      <c r="DM44" s="45"/>
      <c r="DN44" s="45"/>
    </row>
    <row r="45" spans="1:118" ht="12" customHeight="1" x14ac:dyDescent="0.2">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L45" s="43" t="s">
        <v>41</v>
      </c>
      <c r="BM45" s="43"/>
      <c r="BN45" s="43"/>
      <c r="BO45" s="43"/>
      <c r="BP45" s="43"/>
      <c r="BQ45" s="43"/>
      <c r="BR45" s="43"/>
      <c r="BS45" s="43"/>
      <c r="BT45" s="43"/>
      <c r="BU45" s="43"/>
      <c r="BV45" s="43"/>
      <c r="BW45" s="43"/>
      <c r="BX45" s="43"/>
      <c r="BY45" s="43"/>
      <c r="BZ45" s="43"/>
      <c r="CA45" s="43"/>
      <c r="CB45" s="43"/>
      <c r="CC45" s="43"/>
      <c r="CD45" s="43"/>
      <c r="CE45" s="43"/>
      <c r="CF45" s="43"/>
      <c r="CG45" s="45" t="str">
        <f>" %"</f>
        <v xml:space="preserve"> %</v>
      </c>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row>
    <row r="46" spans="1:118" ht="12" customHeight="1" x14ac:dyDescent="0.2">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L46" s="43" t="s">
        <v>40</v>
      </c>
      <c r="BM46" s="43"/>
      <c r="BN46" s="43"/>
      <c r="BO46" s="43"/>
      <c r="BP46" s="43"/>
      <c r="BQ46" s="43"/>
      <c r="BR46" s="43"/>
      <c r="BS46" s="43"/>
      <c r="BT46" s="43"/>
      <c r="BU46" s="43"/>
      <c r="BV46" s="43"/>
      <c r="BW46" s="43"/>
      <c r="BX46" s="43"/>
      <c r="BY46" s="43"/>
      <c r="BZ46" s="43"/>
      <c r="CA46" s="43"/>
      <c r="CB46" s="43"/>
      <c r="CC46" s="43"/>
      <c r="CD46" s="43"/>
      <c r="CE46" s="43"/>
      <c r="CF46" s="43"/>
      <c r="CG46" s="45" t="str">
        <f>" "&amp;COUNTA(BO14:BO23)</f>
        <v xml:space="preserve"> 10</v>
      </c>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row>
    <row r="47" spans="1:118" ht="12" customHeight="1" x14ac:dyDescent="0.2">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L47" s="43" t="s">
        <v>39</v>
      </c>
      <c r="BM47" s="43"/>
      <c r="BN47" s="43"/>
      <c r="BO47" s="43"/>
      <c r="BP47" s="43"/>
      <c r="BQ47" s="43"/>
      <c r="BR47" s="43"/>
      <c r="BS47" s="43"/>
      <c r="BT47" s="43"/>
      <c r="BU47" s="43"/>
      <c r="BV47" s="43"/>
      <c r="BW47" s="43"/>
      <c r="BX47" s="43"/>
      <c r="BY47" s="43"/>
      <c r="BZ47" s="43"/>
      <c r="CA47" s="43"/>
      <c r="CB47" s="43"/>
      <c r="CC47" s="43"/>
      <c r="CD47" s="43"/>
      <c r="CE47" s="43"/>
      <c r="CF47" s="43"/>
      <c r="CG47" s="45" t="str">
        <f>" "&amp;DC24&amp;CG45</f>
        <v xml:space="preserve"> -- %</v>
      </c>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row>
    <row r="48" spans="1:118" ht="12" customHeight="1" x14ac:dyDescent="0.2">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L48" s="43" t="s">
        <v>38</v>
      </c>
      <c r="BM48" s="43"/>
      <c r="BN48" s="43"/>
      <c r="BO48" s="43"/>
      <c r="BP48" s="43"/>
      <c r="BQ48" s="43"/>
      <c r="BR48" s="43"/>
      <c r="BS48" s="43"/>
      <c r="BT48" s="43"/>
      <c r="BU48" s="43"/>
      <c r="BV48" s="43"/>
      <c r="BW48" s="43"/>
      <c r="BX48" s="43"/>
      <c r="BY48" s="43"/>
      <c r="BZ48" s="43"/>
      <c r="CA48" s="43"/>
      <c r="CB48" s="43"/>
      <c r="CC48" s="43"/>
      <c r="CD48" s="43"/>
      <c r="CE48" s="43"/>
      <c r="CF48" s="43"/>
      <c r="CG48" s="45" t="str">
        <f>" "&amp;CB36</f>
        <v xml:space="preserve"> --</v>
      </c>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row>
    <row r="49" spans="1:120" ht="12" customHeight="1" x14ac:dyDescent="0.2">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L49" s="43" t="s">
        <v>37</v>
      </c>
      <c r="BM49" s="43"/>
      <c r="BN49" s="43"/>
      <c r="BO49" s="43"/>
      <c r="BP49" s="43"/>
      <c r="BQ49" s="43"/>
      <c r="BR49" s="43"/>
      <c r="BS49" s="43"/>
      <c r="BT49" s="43"/>
      <c r="BU49" s="43"/>
      <c r="BV49" s="43"/>
      <c r="BW49" s="43"/>
      <c r="BX49" s="43"/>
      <c r="BY49" s="43"/>
      <c r="BZ49" s="43"/>
      <c r="CA49" s="43"/>
      <c r="CB49" s="43"/>
      <c r="CC49" s="43"/>
      <c r="CD49" s="43"/>
      <c r="CE49" s="43"/>
      <c r="CF49" s="43"/>
      <c r="CG49" s="45" t="s">
        <v>36</v>
      </c>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row>
    <row r="50" spans="1:120" ht="12" customHeight="1" x14ac:dyDescent="0.2">
      <c r="E50" s="48" t="s">
        <v>35</v>
      </c>
      <c r="F50" s="49"/>
      <c r="G50" s="49"/>
      <c r="H50" s="49"/>
      <c r="I50" s="49"/>
      <c r="J50" s="49"/>
      <c r="K50" s="49"/>
      <c r="L50" s="49"/>
      <c r="M50" s="49"/>
      <c r="N50" s="49"/>
      <c r="O50" s="49"/>
      <c r="P50" s="49"/>
      <c r="Q50" s="49"/>
      <c r="R50" s="49"/>
      <c r="S50" s="49" t="s">
        <v>34</v>
      </c>
      <c r="T50" s="49"/>
      <c r="U50" s="49"/>
      <c r="V50" s="49"/>
      <c r="W50" s="49"/>
      <c r="X50" s="49"/>
      <c r="Y50" s="49"/>
      <c r="Z50" s="49"/>
      <c r="AA50" s="49"/>
      <c r="AB50" s="49"/>
      <c r="AC50" s="49"/>
      <c r="AD50" s="49"/>
      <c r="AE50" s="49"/>
      <c r="AF50" s="49"/>
      <c r="AG50" s="49"/>
      <c r="AH50" s="49"/>
      <c r="AI50" s="49"/>
      <c r="AJ50" s="49"/>
      <c r="AK50" s="49" t="s">
        <v>33</v>
      </c>
      <c r="AL50" s="49"/>
      <c r="AM50" s="49"/>
      <c r="AN50" s="49"/>
      <c r="AO50" s="49"/>
      <c r="AP50" s="49"/>
      <c r="AQ50" s="49"/>
      <c r="AR50" s="49" t="s">
        <v>32</v>
      </c>
      <c r="AS50" s="49"/>
      <c r="AT50" s="49"/>
      <c r="AU50" s="49"/>
      <c r="AV50" s="49"/>
      <c r="AW50" s="49"/>
      <c r="AX50" s="49"/>
      <c r="AY50" s="49" t="s">
        <v>31</v>
      </c>
      <c r="AZ50" s="49"/>
      <c r="BA50" s="49"/>
      <c r="BB50" s="49"/>
      <c r="BC50" s="49"/>
      <c r="BD50" s="49"/>
      <c r="BE50" s="49"/>
      <c r="BF50" s="49"/>
      <c r="BG50" s="49"/>
      <c r="BL50" s="43" t="s">
        <v>30</v>
      </c>
      <c r="BM50" s="43"/>
      <c r="BN50" s="43"/>
      <c r="BO50" s="43"/>
      <c r="BP50" s="43"/>
      <c r="BQ50" s="43"/>
      <c r="BR50" s="43"/>
      <c r="BS50" s="43"/>
      <c r="BT50" s="43"/>
      <c r="BU50" s="43"/>
      <c r="BV50" s="43"/>
      <c r="BW50" s="43"/>
      <c r="BX50" s="43"/>
      <c r="BY50" s="43"/>
      <c r="BZ50" s="43"/>
      <c r="CA50" s="43"/>
      <c r="CB50" s="43"/>
      <c r="CC50" s="43"/>
      <c r="CD50" s="43"/>
      <c r="CE50" s="43"/>
      <c r="CF50" s="43"/>
      <c r="CG50" s="45" t="str">
        <f>" "&amp;BU40</f>
        <v xml:space="preserve"> --</v>
      </c>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row>
    <row r="51" spans="1:120" ht="12" customHeight="1" x14ac:dyDescent="0.2">
      <c r="E51" s="40" t="s">
        <v>29</v>
      </c>
      <c r="F51" s="40"/>
      <c r="G51" s="40"/>
      <c r="H51" s="40"/>
      <c r="I51" s="40"/>
      <c r="J51" s="40"/>
      <c r="K51" s="40"/>
      <c r="L51" s="40"/>
      <c r="M51" s="40"/>
      <c r="N51" s="40"/>
      <c r="O51" s="40"/>
      <c r="P51" s="40"/>
      <c r="Q51" s="40"/>
      <c r="R51" s="40"/>
      <c r="S51" s="41" t="s">
        <v>28</v>
      </c>
      <c r="T51" s="41"/>
      <c r="U51" s="41"/>
      <c r="V51" s="41"/>
      <c r="W51" s="41"/>
      <c r="X51" s="41"/>
      <c r="Y51" s="41"/>
      <c r="Z51" s="41"/>
      <c r="AA51" s="41"/>
      <c r="AB51" s="41"/>
      <c r="AC51" s="41"/>
      <c r="AD51" s="41"/>
      <c r="AE51" s="41"/>
      <c r="AF51" s="41"/>
      <c r="AG51" s="41"/>
      <c r="AH51" s="41"/>
      <c r="AI51" s="41"/>
      <c r="AJ51" s="41"/>
      <c r="AK51" s="42" t="s">
        <v>27</v>
      </c>
      <c r="AL51" s="42"/>
      <c r="AM51" s="42"/>
      <c r="AN51" s="42"/>
      <c r="AO51" s="42"/>
      <c r="AP51" s="42"/>
      <c r="AQ51" s="42"/>
      <c r="AR51" s="42" t="s">
        <v>26</v>
      </c>
      <c r="AS51" s="42"/>
      <c r="AT51" s="42"/>
      <c r="AU51" s="42"/>
      <c r="AV51" s="42"/>
      <c r="AW51" s="42"/>
      <c r="AX51" s="42"/>
      <c r="AY51" s="42" t="s">
        <v>25</v>
      </c>
      <c r="AZ51" s="42"/>
      <c r="BA51" s="42"/>
      <c r="BB51" s="42"/>
      <c r="BC51" s="42"/>
      <c r="BD51" s="42"/>
      <c r="BE51" s="42"/>
      <c r="BF51" s="42"/>
      <c r="BG51" s="42"/>
      <c r="BL51" s="43" t="s">
        <v>24</v>
      </c>
      <c r="BM51" s="43"/>
      <c r="BN51" s="43"/>
      <c r="BO51" s="43"/>
      <c r="BP51" s="43"/>
      <c r="BQ51" s="43"/>
      <c r="BR51" s="43"/>
      <c r="BS51" s="43"/>
      <c r="BT51" s="43"/>
      <c r="BU51" s="43"/>
      <c r="BV51" s="43"/>
      <c r="BW51" s="43"/>
      <c r="BX51" s="43"/>
      <c r="BY51" s="43"/>
      <c r="BZ51" s="43"/>
      <c r="CA51" s="43"/>
      <c r="CB51" s="43"/>
      <c r="CC51" s="43"/>
      <c r="CD51" s="43"/>
      <c r="CE51" s="43"/>
      <c r="CF51" s="43"/>
      <c r="CG51" s="45" t="s">
        <v>23</v>
      </c>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row>
    <row r="52" spans="1:120" ht="12" customHeight="1" x14ac:dyDescent="0.2">
      <c r="E52" s="40"/>
      <c r="F52" s="40"/>
      <c r="G52" s="40"/>
      <c r="H52" s="40"/>
      <c r="I52" s="40"/>
      <c r="J52" s="40"/>
      <c r="K52" s="40"/>
      <c r="L52" s="40"/>
      <c r="M52" s="40"/>
      <c r="N52" s="40"/>
      <c r="O52" s="40"/>
      <c r="P52" s="40"/>
      <c r="Q52" s="40"/>
      <c r="R52" s="40"/>
      <c r="S52" s="41"/>
      <c r="T52" s="41"/>
      <c r="U52" s="41"/>
      <c r="V52" s="41"/>
      <c r="W52" s="41"/>
      <c r="X52" s="41"/>
      <c r="Y52" s="41"/>
      <c r="Z52" s="41"/>
      <c r="AA52" s="41"/>
      <c r="AB52" s="41"/>
      <c r="AC52" s="41"/>
      <c r="AD52" s="41"/>
      <c r="AE52" s="41"/>
      <c r="AF52" s="41"/>
      <c r="AG52" s="41"/>
      <c r="AH52" s="41"/>
      <c r="AI52" s="41"/>
      <c r="AJ52" s="41"/>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L52" s="43" t="s">
        <v>22</v>
      </c>
      <c r="BM52" s="43"/>
      <c r="BN52" s="43"/>
      <c r="BO52" s="43"/>
      <c r="BP52" s="43"/>
      <c r="BQ52" s="43"/>
      <c r="BR52" s="43"/>
      <c r="BS52" s="43"/>
      <c r="BT52" s="43"/>
      <c r="BU52" s="43"/>
      <c r="BV52" s="43"/>
      <c r="BW52" s="43"/>
      <c r="BX52" s="43"/>
      <c r="BY52" s="43"/>
      <c r="BZ52" s="43"/>
      <c r="CA52" s="43"/>
      <c r="CB52" s="43"/>
      <c r="CC52" s="43"/>
      <c r="CD52" s="43"/>
      <c r="CE52" s="43"/>
      <c r="CF52" s="43"/>
      <c r="CG52" s="45" t="s">
        <v>21</v>
      </c>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row>
    <row r="53" spans="1:120" ht="12" customHeight="1" x14ac:dyDescent="0.2">
      <c r="E53" s="40" t="s">
        <v>20</v>
      </c>
      <c r="F53" s="40"/>
      <c r="G53" s="40"/>
      <c r="H53" s="40"/>
      <c r="I53" s="40"/>
      <c r="J53" s="40"/>
      <c r="K53" s="40"/>
      <c r="L53" s="40"/>
      <c r="M53" s="40"/>
      <c r="N53" s="40"/>
      <c r="O53" s="40"/>
      <c r="P53" s="40"/>
      <c r="Q53" s="40"/>
      <c r="R53" s="40"/>
      <c r="S53" s="41" t="s">
        <v>19</v>
      </c>
      <c r="T53" s="41"/>
      <c r="U53" s="41"/>
      <c r="V53" s="41"/>
      <c r="W53" s="41"/>
      <c r="X53" s="41"/>
      <c r="Y53" s="41"/>
      <c r="Z53" s="41"/>
      <c r="AA53" s="41"/>
      <c r="AB53" s="41"/>
      <c r="AC53" s="41"/>
      <c r="AD53" s="41"/>
      <c r="AE53" s="41"/>
      <c r="AF53" s="41"/>
      <c r="AG53" s="41"/>
      <c r="AH53" s="41"/>
      <c r="AI53" s="41"/>
      <c r="AJ53" s="41"/>
      <c r="AK53" s="42" t="s">
        <v>7</v>
      </c>
      <c r="AL53" s="42"/>
      <c r="AM53" s="42"/>
      <c r="AN53" s="42"/>
      <c r="AO53" s="42"/>
      <c r="AP53" s="42"/>
      <c r="AQ53" s="42"/>
      <c r="AR53" s="42" t="s">
        <v>10</v>
      </c>
      <c r="AS53" s="42"/>
      <c r="AT53" s="42"/>
      <c r="AU53" s="42"/>
      <c r="AV53" s="42"/>
      <c r="AW53" s="42"/>
      <c r="AX53" s="42"/>
      <c r="AY53" s="42" t="s">
        <v>5</v>
      </c>
      <c r="AZ53" s="42"/>
      <c r="BA53" s="42"/>
      <c r="BB53" s="42"/>
      <c r="BC53" s="42"/>
      <c r="BD53" s="42"/>
      <c r="BE53" s="42"/>
      <c r="BF53" s="42"/>
      <c r="BG53" s="42"/>
      <c r="BL53" s="43" t="s">
        <v>18</v>
      </c>
      <c r="BM53" s="43"/>
      <c r="BN53" s="43"/>
      <c r="BO53" s="43"/>
      <c r="BP53" s="43"/>
      <c r="BQ53" s="43"/>
      <c r="BR53" s="43"/>
      <c r="BS53" s="43"/>
      <c r="BT53" s="43"/>
      <c r="BU53" s="43"/>
      <c r="BV53" s="43"/>
      <c r="BW53" s="43"/>
      <c r="BX53" s="43"/>
      <c r="BY53" s="43"/>
      <c r="BZ53" s="43"/>
      <c r="CA53" s="43"/>
      <c r="CB53" s="43"/>
      <c r="CC53" s="43"/>
      <c r="CD53" s="43"/>
      <c r="CE53" s="43"/>
      <c r="CF53" s="43"/>
      <c r="CG53" s="45" t="str">
        <f>" "&amp;DC24&amp;" ±"&amp;CG50&amp;" %"</f>
        <v xml:space="preserve"> -- ± -- %</v>
      </c>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row>
    <row r="54" spans="1:120" ht="12" customHeight="1" x14ac:dyDescent="0.2">
      <c r="E54" s="40"/>
      <c r="F54" s="40"/>
      <c r="G54" s="40"/>
      <c r="H54" s="40"/>
      <c r="I54" s="40"/>
      <c r="J54" s="40"/>
      <c r="K54" s="40"/>
      <c r="L54" s="40"/>
      <c r="M54" s="40"/>
      <c r="N54" s="40"/>
      <c r="O54" s="40"/>
      <c r="P54" s="40"/>
      <c r="Q54" s="40"/>
      <c r="R54" s="40"/>
      <c r="S54" s="41"/>
      <c r="T54" s="41"/>
      <c r="U54" s="41"/>
      <c r="V54" s="41"/>
      <c r="W54" s="41"/>
      <c r="X54" s="41"/>
      <c r="Y54" s="41"/>
      <c r="Z54" s="41"/>
      <c r="AA54" s="41"/>
      <c r="AB54" s="41"/>
      <c r="AC54" s="41"/>
      <c r="AD54" s="41"/>
      <c r="AE54" s="41"/>
      <c r="AF54" s="41"/>
      <c r="AG54" s="41"/>
      <c r="AH54" s="41"/>
      <c r="AI54" s="41"/>
      <c r="AJ54" s="41"/>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L54" s="43" t="s">
        <v>17</v>
      </c>
      <c r="BM54" s="43"/>
      <c r="BN54" s="43"/>
      <c r="BO54" s="43"/>
      <c r="BP54" s="43"/>
      <c r="BQ54" s="43"/>
      <c r="BR54" s="43"/>
      <c r="BS54" s="43"/>
      <c r="BT54" s="43"/>
      <c r="BU54" s="43"/>
      <c r="BV54" s="43"/>
      <c r="BW54" s="43"/>
      <c r="BX54" s="43"/>
      <c r="BY54" s="43"/>
      <c r="BZ54" s="43"/>
      <c r="CA54" s="43"/>
      <c r="CB54" s="43"/>
      <c r="CC54" s="43"/>
      <c r="CD54" s="43"/>
      <c r="CE54" s="43"/>
      <c r="CF54" s="43"/>
      <c r="CG54" s="44" t="str">
        <f ca="1">" "&amp;TEXT(TODAY(),"dd mmmm, yyyy")</f>
        <v xml:space="preserve"> 12 March, 2026</v>
      </c>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row>
    <row r="55" spans="1:120" ht="12" customHeight="1" x14ac:dyDescent="0.2">
      <c r="E55" s="40" t="s">
        <v>16</v>
      </c>
      <c r="F55" s="40"/>
      <c r="G55" s="40"/>
      <c r="H55" s="40"/>
      <c r="I55" s="40"/>
      <c r="J55" s="40"/>
      <c r="K55" s="40"/>
      <c r="L55" s="40"/>
      <c r="M55" s="40"/>
      <c r="N55" s="40"/>
      <c r="O55" s="40"/>
      <c r="P55" s="40"/>
      <c r="Q55" s="40"/>
      <c r="R55" s="40"/>
      <c r="S55" s="41" t="s">
        <v>15</v>
      </c>
      <c r="T55" s="41"/>
      <c r="U55" s="41"/>
      <c r="V55" s="41"/>
      <c r="W55" s="41"/>
      <c r="X55" s="41"/>
      <c r="Y55" s="41"/>
      <c r="Z55" s="41"/>
      <c r="AA55" s="41"/>
      <c r="AB55" s="41"/>
      <c r="AC55" s="41"/>
      <c r="AD55" s="41"/>
      <c r="AE55" s="41"/>
      <c r="AF55" s="41"/>
      <c r="AG55" s="41"/>
      <c r="AH55" s="41"/>
      <c r="AI55" s="41"/>
      <c r="AJ55" s="41"/>
      <c r="AK55" s="42" t="s">
        <v>7</v>
      </c>
      <c r="AL55" s="42"/>
      <c r="AM55" s="42"/>
      <c r="AN55" s="42"/>
      <c r="AO55" s="42"/>
      <c r="AP55" s="42"/>
      <c r="AQ55" s="42"/>
      <c r="AR55" s="42" t="s">
        <v>10</v>
      </c>
      <c r="AS55" s="42"/>
      <c r="AT55" s="42"/>
      <c r="AU55" s="42"/>
      <c r="AV55" s="42"/>
      <c r="AW55" s="42"/>
      <c r="AX55" s="42"/>
      <c r="AY55" s="42" t="s">
        <v>5</v>
      </c>
      <c r="AZ55" s="42"/>
      <c r="BA55" s="42"/>
      <c r="BB55" s="42"/>
      <c r="BC55" s="42"/>
      <c r="BD55" s="42"/>
      <c r="BE55" s="42"/>
      <c r="BF55" s="42"/>
      <c r="BG55" s="42"/>
      <c r="BL55" s="43" t="s">
        <v>14</v>
      </c>
      <c r="BM55" s="43"/>
      <c r="BN55" s="43"/>
      <c r="BO55" s="43"/>
      <c r="BP55" s="43"/>
      <c r="BQ55" s="43"/>
      <c r="BR55" s="43"/>
      <c r="BS55" s="43"/>
      <c r="BT55" s="43"/>
      <c r="BU55" s="43"/>
      <c r="BV55" s="43"/>
      <c r="BW55" s="43"/>
      <c r="BX55" s="43"/>
      <c r="BY55" s="43"/>
      <c r="BZ55" s="43"/>
      <c r="CA55" s="43"/>
      <c r="CB55" s="43"/>
      <c r="CC55" s="43"/>
      <c r="CD55" s="43"/>
      <c r="CE55" s="43"/>
      <c r="CF55" s="43"/>
      <c r="CG55" s="45" t="s">
        <v>13</v>
      </c>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row>
    <row r="56" spans="1:120" ht="12" customHeight="1" x14ac:dyDescent="0.2">
      <c r="E56" s="40"/>
      <c r="F56" s="40"/>
      <c r="G56" s="40"/>
      <c r="H56" s="40"/>
      <c r="I56" s="40"/>
      <c r="J56" s="40"/>
      <c r="K56" s="40"/>
      <c r="L56" s="40"/>
      <c r="M56" s="40"/>
      <c r="N56" s="40"/>
      <c r="O56" s="40"/>
      <c r="P56" s="40"/>
      <c r="Q56" s="40"/>
      <c r="R56" s="40"/>
      <c r="S56" s="41"/>
      <c r="T56" s="41"/>
      <c r="U56" s="41"/>
      <c r="V56" s="41"/>
      <c r="W56" s="41"/>
      <c r="X56" s="41"/>
      <c r="Y56" s="41"/>
      <c r="Z56" s="41"/>
      <c r="AA56" s="41"/>
      <c r="AB56" s="41"/>
      <c r="AC56" s="41"/>
      <c r="AD56" s="41"/>
      <c r="AE56" s="41"/>
      <c r="AF56" s="41"/>
      <c r="AG56" s="41"/>
      <c r="AH56" s="41"/>
      <c r="AI56" s="41"/>
      <c r="AJ56" s="41"/>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L56" s="46" t="str">
        <f>"The measurement uncertainty for ash content in coal was evaluated according to IS 1350 (Part 1): 2025 and NABL-141 (GUM) guidelines. The combined standard uncertainty was"&amp;CG48&amp;", and the expanded uncertainty (k = 2, 95% confidence) was ±"&amp;CG50&amp;" %."</f>
        <v>The measurement uncertainty for ash content in coal was evaluated according to IS 1350 (Part 1): 2025 and NABL-141 (GUM) guidelines. The combined standard uncertainty was --, and the expanded uncertainty (k = 2, 95% confidence) was ± -- %.</v>
      </c>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row>
    <row r="57" spans="1:120" ht="12" customHeight="1" x14ac:dyDescent="0.2">
      <c r="E57" s="40" t="s">
        <v>12</v>
      </c>
      <c r="F57" s="40"/>
      <c r="G57" s="40"/>
      <c r="H57" s="40"/>
      <c r="I57" s="40"/>
      <c r="J57" s="40"/>
      <c r="K57" s="40"/>
      <c r="L57" s="40"/>
      <c r="M57" s="40"/>
      <c r="N57" s="40"/>
      <c r="O57" s="40"/>
      <c r="P57" s="40"/>
      <c r="Q57" s="40"/>
      <c r="R57" s="40"/>
      <c r="S57" s="41" t="s">
        <v>11</v>
      </c>
      <c r="T57" s="41"/>
      <c r="U57" s="41"/>
      <c r="V57" s="41"/>
      <c r="W57" s="41"/>
      <c r="X57" s="41"/>
      <c r="Y57" s="41"/>
      <c r="Z57" s="41"/>
      <c r="AA57" s="41"/>
      <c r="AB57" s="41"/>
      <c r="AC57" s="41"/>
      <c r="AD57" s="41"/>
      <c r="AE57" s="41"/>
      <c r="AF57" s="41"/>
      <c r="AG57" s="41"/>
      <c r="AH57" s="41"/>
      <c r="AI57" s="41"/>
      <c r="AJ57" s="41"/>
      <c r="AK57" s="42" t="s">
        <v>7</v>
      </c>
      <c r="AL57" s="42"/>
      <c r="AM57" s="42"/>
      <c r="AN57" s="42"/>
      <c r="AO57" s="42"/>
      <c r="AP57" s="42"/>
      <c r="AQ57" s="42"/>
      <c r="AR57" s="42" t="s">
        <v>10</v>
      </c>
      <c r="AS57" s="42"/>
      <c r="AT57" s="42"/>
      <c r="AU57" s="42"/>
      <c r="AV57" s="42"/>
      <c r="AW57" s="42"/>
      <c r="AX57" s="42"/>
      <c r="AY57" s="42" t="s">
        <v>5</v>
      </c>
      <c r="AZ57" s="42"/>
      <c r="BA57" s="42"/>
      <c r="BB57" s="42"/>
      <c r="BC57" s="42"/>
      <c r="BD57" s="42"/>
      <c r="BE57" s="42"/>
      <c r="BF57" s="42"/>
      <c r="BG57" s="42"/>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row>
    <row r="58" spans="1:120" ht="12" customHeight="1" x14ac:dyDescent="0.2">
      <c r="E58" s="40"/>
      <c r="F58" s="40"/>
      <c r="G58" s="40"/>
      <c r="H58" s="40"/>
      <c r="I58" s="40"/>
      <c r="J58" s="40"/>
      <c r="K58" s="40"/>
      <c r="L58" s="40"/>
      <c r="M58" s="40"/>
      <c r="N58" s="40"/>
      <c r="O58" s="40"/>
      <c r="P58" s="40"/>
      <c r="Q58" s="40"/>
      <c r="R58" s="40"/>
      <c r="S58" s="41"/>
      <c r="T58" s="41"/>
      <c r="U58" s="41"/>
      <c r="V58" s="41"/>
      <c r="W58" s="41"/>
      <c r="X58" s="41"/>
      <c r="Y58" s="41"/>
      <c r="Z58" s="41"/>
      <c r="AA58" s="41"/>
      <c r="AB58" s="41"/>
      <c r="AC58" s="41"/>
      <c r="AD58" s="41"/>
      <c r="AE58" s="41"/>
      <c r="AF58" s="41"/>
      <c r="AG58" s="41"/>
      <c r="AH58" s="41"/>
      <c r="AI58" s="41"/>
      <c r="AJ58" s="41"/>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row>
    <row r="59" spans="1:120" ht="12" customHeight="1" x14ac:dyDescent="0.2">
      <c r="E59" s="40" t="s">
        <v>9</v>
      </c>
      <c r="F59" s="40"/>
      <c r="G59" s="40"/>
      <c r="H59" s="40"/>
      <c r="I59" s="40"/>
      <c r="J59" s="40"/>
      <c r="K59" s="40"/>
      <c r="L59" s="40"/>
      <c r="M59" s="40"/>
      <c r="N59" s="40"/>
      <c r="O59" s="40"/>
      <c r="P59" s="40"/>
      <c r="Q59" s="40"/>
      <c r="R59" s="40"/>
      <c r="S59" s="41" t="s">
        <v>8</v>
      </c>
      <c r="T59" s="41"/>
      <c r="U59" s="41"/>
      <c r="V59" s="41"/>
      <c r="W59" s="41"/>
      <c r="X59" s="41"/>
      <c r="Y59" s="41"/>
      <c r="Z59" s="41"/>
      <c r="AA59" s="41"/>
      <c r="AB59" s="41"/>
      <c r="AC59" s="41"/>
      <c r="AD59" s="41"/>
      <c r="AE59" s="41"/>
      <c r="AF59" s="41"/>
      <c r="AG59" s="41"/>
      <c r="AH59" s="41"/>
      <c r="AI59" s="41"/>
      <c r="AJ59" s="41"/>
      <c r="AK59" s="42" t="s">
        <v>7</v>
      </c>
      <c r="AL59" s="42"/>
      <c r="AM59" s="42"/>
      <c r="AN59" s="42"/>
      <c r="AO59" s="42"/>
      <c r="AP59" s="42"/>
      <c r="AQ59" s="42"/>
      <c r="AR59" s="42" t="s">
        <v>6</v>
      </c>
      <c r="AS59" s="42"/>
      <c r="AT59" s="42"/>
      <c r="AU59" s="42"/>
      <c r="AV59" s="42"/>
      <c r="AW59" s="42"/>
      <c r="AX59" s="42"/>
      <c r="AY59" s="42" t="s">
        <v>5</v>
      </c>
      <c r="AZ59" s="42"/>
      <c r="BA59" s="42"/>
      <c r="BB59" s="42"/>
      <c r="BC59" s="42"/>
      <c r="BD59" s="42"/>
      <c r="BE59" s="42"/>
      <c r="BF59" s="42"/>
      <c r="BG59" s="42"/>
      <c r="BL59" s="37" t="s">
        <v>4</v>
      </c>
      <c r="BM59" s="37"/>
      <c r="BN59" s="37"/>
      <c r="BO59" s="37"/>
      <c r="BP59" s="37"/>
      <c r="BQ59" s="37"/>
      <c r="BR59" s="37"/>
      <c r="BS59" s="37"/>
      <c r="BT59" s="37"/>
      <c r="BU59" s="36" t="s">
        <v>3</v>
      </c>
      <c r="BV59" s="36"/>
      <c r="BW59" s="36"/>
      <c r="BX59" s="36"/>
      <c r="BY59" s="36"/>
      <c r="BZ59" s="36"/>
      <c r="CA59" s="36"/>
      <c r="CB59" s="38" t="str">
        <f>DC24&amp;" ± "&amp;BU40&amp;" %"</f>
        <v>-- ± -- %</v>
      </c>
      <c r="CC59" s="39"/>
      <c r="CD59" s="39"/>
      <c r="CE59" s="39"/>
      <c r="CF59" s="39"/>
      <c r="CG59" s="39"/>
      <c r="CH59" s="39"/>
      <c r="CI59" s="39"/>
      <c r="CJ59" s="39"/>
      <c r="CK59" s="39"/>
      <c r="CL59" s="39"/>
      <c r="CM59" s="39"/>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row>
    <row r="60" spans="1:120" ht="12" customHeight="1" x14ac:dyDescent="0.2">
      <c r="E60" s="40"/>
      <c r="F60" s="40"/>
      <c r="G60" s="40"/>
      <c r="H60" s="40"/>
      <c r="I60" s="40"/>
      <c r="J60" s="40"/>
      <c r="K60" s="40"/>
      <c r="L60" s="40"/>
      <c r="M60" s="40"/>
      <c r="N60" s="40"/>
      <c r="O60" s="40"/>
      <c r="P60" s="40"/>
      <c r="Q60" s="40"/>
      <c r="R60" s="40"/>
      <c r="S60" s="41"/>
      <c r="T60" s="41"/>
      <c r="U60" s="41"/>
      <c r="V60" s="41"/>
      <c r="W60" s="41"/>
      <c r="X60" s="41"/>
      <c r="Y60" s="41"/>
      <c r="Z60" s="41"/>
      <c r="AA60" s="41"/>
      <c r="AB60" s="41"/>
      <c r="AC60" s="41"/>
      <c r="AD60" s="41"/>
      <c r="AE60" s="41"/>
      <c r="AF60" s="41"/>
      <c r="AG60" s="41"/>
      <c r="AH60" s="41"/>
      <c r="AI60" s="41"/>
      <c r="AJ60" s="41"/>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row>
    <row r="61" spans="1:120" ht="12" customHeight="1" x14ac:dyDescent="0.2">
      <c r="A61" s="4"/>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4"/>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row>
    <row r="62" spans="1:120" ht="12"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row>
    <row r="63" spans="1:120" ht="12" customHeight="1" x14ac:dyDescent="0.2">
      <c r="B63" s="33" t="s">
        <v>2</v>
      </c>
      <c r="C63" s="34"/>
      <c r="D63" s="34"/>
      <c r="E63" s="34"/>
      <c r="F63" s="34"/>
      <c r="G63" s="34"/>
      <c r="H63" s="34"/>
      <c r="I63" s="34"/>
      <c r="J63" s="34"/>
      <c r="K63" s="34"/>
      <c r="L63" s="34"/>
      <c r="M63" s="34"/>
      <c r="N63" s="34"/>
      <c r="O63" s="34"/>
      <c r="P63" s="34"/>
      <c r="Q63" s="34"/>
      <c r="R63" s="34"/>
      <c r="S63" s="34"/>
      <c r="T63" s="34"/>
      <c r="V63" s="33" t="s">
        <v>1</v>
      </c>
      <c r="W63" s="34"/>
      <c r="X63" s="34"/>
      <c r="Y63" s="34"/>
      <c r="Z63" s="34"/>
      <c r="AA63" s="34"/>
      <c r="AB63" s="34"/>
      <c r="AC63" s="34"/>
      <c r="AD63" s="34"/>
      <c r="AE63" s="34"/>
      <c r="AF63" s="34"/>
      <c r="AG63" s="34"/>
      <c r="AH63" s="34"/>
      <c r="AI63" s="34"/>
      <c r="AJ63" s="34"/>
      <c r="AK63" s="34"/>
      <c r="AL63" s="34"/>
      <c r="AM63" s="34"/>
      <c r="AN63" s="34"/>
      <c r="AP63" s="33" t="s">
        <v>0</v>
      </c>
      <c r="AQ63" s="34"/>
      <c r="AR63" s="34"/>
      <c r="AS63" s="34"/>
      <c r="AT63" s="34"/>
      <c r="AU63" s="34"/>
      <c r="AV63" s="34"/>
      <c r="AW63" s="34"/>
      <c r="AX63" s="34"/>
      <c r="AY63" s="34"/>
      <c r="AZ63" s="34"/>
      <c r="BA63" s="34"/>
      <c r="BB63" s="34"/>
      <c r="BC63" s="34"/>
      <c r="BD63" s="34"/>
      <c r="BE63" s="34"/>
      <c r="BF63" s="34"/>
      <c r="BG63" s="34"/>
      <c r="BH63" s="34"/>
      <c r="BJ63" s="33" t="s">
        <v>2</v>
      </c>
      <c r="BK63" s="34"/>
      <c r="BL63" s="34"/>
      <c r="BM63" s="34"/>
      <c r="BN63" s="34"/>
      <c r="BO63" s="34"/>
      <c r="BP63" s="34"/>
      <c r="BQ63" s="34"/>
      <c r="BR63" s="34"/>
      <c r="BS63" s="34"/>
      <c r="BT63" s="34"/>
      <c r="BU63" s="34"/>
      <c r="BV63" s="34"/>
      <c r="BW63" s="34"/>
      <c r="BX63" s="34"/>
      <c r="BY63" s="34"/>
      <c r="BZ63" s="34"/>
      <c r="CA63" s="34"/>
      <c r="CB63" s="34"/>
      <c r="CD63" s="33" t="s">
        <v>1</v>
      </c>
      <c r="CE63" s="34"/>
      <c r="CF63" s="34"/>
      <c r="CG63" s="34"/>
      <c r="CH63" s="34"/>
      <c r="CI63" s="34"/>
      <c r="CJ63" s="34"/>
      <c r="CK63" s="34"/>
      <c r="CL63" s="34"/>
      <c r="CM63" s="34"/>
      <c r="CN63" s="34"/>
      <c r="CO63" s="34"/>
      <c r="CP63" s="34"/>
      <c r="CQ63" s="34"/>
      <c r="CR63" s="34"/>
      <c r="CS63" s="34"/>
      <c r="CT63" s="34"/>
      <c r="CU63" s="34"/>
      <c r="CV63" s="34"/>
      <c r="CX63" s="33" t="s">
        <v>0</v>
      </c>
      <c r="CY63" s="34"/>
      <c r="CZ63" s="34"/>
      <c r="DA63" s="34"/>
      <c r="DB63" s="34"/>
      <c r="DC63" s="34"/>
      <c r="DD63" s="34"/>
      <c r="DE63" s="34"/>
      <c r="DF63" s="34"/>
      <c r="DG63" s="34"/>
      <c r="DH63" s="34"/>
      <c r="DI63" s="34"/>
      <c r="DJ63" s="34"/>
      <c r="DK63" s="34"/>
      <c r="DL63" s="34"/>
      <c r="DM63" s="34"/>
      <c r="DN63" s="34"/>
      <c r="DO63" s="34"/>
      <c r="DP63" s="34"/>
    </row>
    <row r="64" spans="1:120" ht="12" customHeight="1" x14ac:dyDescent="0.2">
      <c r="B64" s="34"/>
      <c r="C64" s="34"/>
      <c r="D64" s="34"/>
      <c r="E64" s="34"/>
      <c r="F64" s="34"/>
      <c r="G64" s="34"/>
      <c r="H64" s="34"/>
      <c r="I64" s="34"/>
      <c r="J64" s="34"/>
      <c r="K64" s="34"/>
      <c r="L64" s="34"/>
      <c r="M64" s="34"/>
      <c r="N64" s="34"/>
      <c r="O64" s="34"/>
      <c r="P64" s="34"/>
      <c r="Q64" s="34"/>
      <c r="R64" s="34"/>
      <c r="S64" s="34"/>
      <c r="T64" s="34"/>
      <c r="V64" s="34"/>
      <c r="W64" s="34"/>
      <c r="X64" s="34"/>
      <c r="Y64" s="34"/>
      <c r="Z64" s="34"/>
      <c r="AA64" s="34"/>
      <c r="AB64" s="34"/>
      <c r="AC64" s="34"/>
      <c r="AD64" s="34"/>
      <c r="AE64" s="34"/>
      <c r="AF64" s="34"/>
      <c r="AG64" s="34"/>
      <c r="AH64" s="34"/>
      <c r="AI64" s="34"/>
      <c r="AJ64" s="34"/>
      <c r="AK64" s="34"/>
      <c r="AL64" s="34"/>
      <c r="AM64" s="34"/>
      <c r="AN64" s="34"/>
      <c r="AP64" s="34"/>
      <c r="AQ64" s="34"/>
      <c r="AR64" s="34"/>
      <c r="AS64" s="34"/>
      <c r="AT64" s="34"/>
      <c r="AU64" s="34"/>
      <c r="AV64" s="34"/>
      <c r="AW64" s="34"/>
      <c r="AX64" s="34"/>
      <c r="AY64" s="34"/>
      <c r="AZ64" s="34"/>
      <c r="BA64" s="34"/>
      <c r="BB64" s="34"/>
      <c r="BC64" s="34"/>
      <c r="BD64" s="34"/>
      <c r="BE64" s="34"/>
      <c r="BF64" s="34"/>
      <c r="BG64" s="34"/>
      <c r="BH64" s="34"/>
      <c r="BJ64" s="34"/>
      <c r="BK64" s="34"/>
      <c r="BL64" s="34"/>
      <c r="BM64" s="34"/>
      <c r="BN64" s="34"/>
      <c r="BO64" s="34"/>
      <c r="BP64" s="34"/>
      <c r="BQ64" s="34"/>
      <c r="BR64" s="34"/>
      <c r="BS64" s="34"/>
      <c r="BT64" s="34"/>
      <c r="BU64" s="34"/>
      <c r="BV64" s="34"/>
      <c r="BW64" s="34"/>
      <c r="BX64" s="34"/>
      <c r="BY64" s="34"/>
      <c r="BZ64" s="34"/>
      <c r="CA64" s="34"/>
      <c r="CB64" s="34"/>
      <c r="CD64" s="34"/>
      <c r="CE64" s="34"/>
      <c r="CF64" s="34"/>
      <c r="CG64" s="34"/>
      <c r="CH64" s="34"/>
      <c r="CI64" s="34"/>
      <c r="CJ64" s="34"/>
      <c r="CK64" s="34"/>
      <c r="CL64" s="34"/>
      <c r="CM64" s="34"/>
      <c r="CN64" s="34"/>
      <c r="CO64" s="34"/>
      <c r="CP64" s="34"/>
      <c r="CQ64" s="34"/>
      <c r="CR64" s="34"/>
      <c r="CS64" s="34"/>
      <c r="CT64" s="34"/>
      <c r="CU64" s="34"/>
      <c r="CV64" s="34"/>
      <c r="CX64" s="34"/>
      <c r="CY64" s="34"/>
      <c r="CZ64" s="34"/>
      <c r="DA64" s="34"/>
      <c r="DB64" s="34"/>
      <c r="DC64" s="34"/>
      <c r="DD64" s="34"/>
      <c r="DE64" s="34"/>
      <c r="DF64" s="34"/>
      <c r="DG64" s="34"/>
      <c r="DH64" s="34"/>
      <c r="DI64" s="34"/>
      <c r="DJ64" s="34"/>
      <c r="DK64" s="34"/>
      <c r="DL64" s="34"/>
      <c r="DM64" s="34"/>
      <c r="DN64" s="34"/>
      <c r="DO64" s="34"/>
      <c r="DP64" s="34"/>
    </row>
    <row r="65" spans="2:120" ht="12" customHeight="1" x14ac:dyDescent="0.2">
      <c r="B65" s="34"/>
      <c r="C65" s="34"/>
      <c r="D65" s="34"/>
      <c r="E65" s="34"/>
      <c r="F65" s="34"/>
      <c r="G65" s="34"/>
      <c r="H65" s="34"/>
      <c r="I65" s="34"/>
      <c r="J65" s="34"/>
      <c r="K65" s="34"/>
      <c r="L65" s="34"/>
      <c r="M65" s="34"/>
      <c r="N65" s="34"/>
      <c r="O65" s="34"/>
      <c r="P65" s="34"/>
      <c r="Q65" s="34"/>
      <c r="R65" s="34"/>
      <c r="S65" s="34"/>
      <c r="T65" s="34"/>
      <c r="V65" s="34"/>
      <c r="W65" s="34"/>
      <c r="X65" s="34"/>
      <c r="Y65" s="34"/>
      <c r="Z65" s="34"/>
      <c r="AA65" s="34"/>
      <c r="AB65" s="34"/>
      <c r="AC65" s="34"/>
      <c r="AD65" s="34"/>
      <c r="AE65" s="34"/>
      <c r="AF65" s="34"/>
      <c r="AG65" s="34"/>
      <c r="AH65" s="34"/>
      <c r="AI65" s="34"/>
      <c r="AJ65" s="34"/>
      <c r="AK65" s="34"/>
      <c r="AL65" s="34"/>
      <c r="AM65" s="34"/>
      <c r="AN65" s="34"/>
      <c r="AP65" s="34"/>
      <c r="AQ65" s="34"/>
      <c r="AR65" s="34"/>
      <c r="AS65" s="34"/>
      <c r="AT65" s="34"/>
      <c r="AU65" s="34"/>
      <c r="AV65" s="34"/>
      <c r="AW65" s="34"/>
      <c r="AX65" s="34"/>
      <c r="AY65" s="34"/>
      <c r="AZ65" s="34"/>
      <c r="BA65" s="34"/>
      <c r="BB65" s="34"/>
      <c r="BC65" s="34"/>
      <c r="BD65" s="34"/>
      <c r="BE65" s="34"/>
      <c r="BF65" s="34"/>
      <c r="BG65" s="34"/>
      <c r="BH65" s="34"/>
      <c r="BJ65" s="34"/>
      <c r="BK65" s="34"/>
      <c r="BL65" s="34"/>
      <c r="BM65" s="34"/>
      <c r="BN65" s="34"/>
      <c r="BO65" s="34"/>
      <c r="BP65" s="34"/>
      <c r="BQ65" s="34"/>
      <c r="BR65" s="34"/>
      <c r="BS65" s="34"/>
      <c r="BT65" s="34"/>
      <c r="BU65" s="34"/>
      <c r="BV65" s="34"/>
      <c r="BW65" s="34"/>
      <c r="BX65" s="34"/>
      <c r="BY65" s="34"/>
      <c r="BZ65" s="34"/>
      <c r="CA65" s="34"/>
      <c r="CB65" s="34"/>
      <c r="CD65" s="34"/>
      <c r="CE65" s="34"/>
      <c r="CF65" s="34"/>
      <c r="CG65" s="34"/>
      <c r="CH65" s="34"/>
      <c r="CI65" s="34"/>
      <c r="CJ65" s="34"/>
      <c r="CK65" s="34"/>
      <c r="CL65" s="34"/>
      <c r="CM65" s="34"/>
      <c r="CN65" s="34"/>
      <c r="CO65" s="34"/>
      <c r="CP65" s="34"/>
      <c r="CQ65" s="34"/>
      <c r="CR65" s="34"/>
      <c r="CS65" s="34"/>
      <c r="CT65" s="34"/>
      <c r="CU65" s="34"/>
      <c r="CV65" s="34"/>
      <c r="CX65" s="34"/>
      <c r="CY65" s="34"/>
      <c r="CZ65" s="34"/>
      <c r="DA65" s="34"/>
      <c r="DB65" s="34"/>
      <c r="DC65" s="34"/>
      <c r="DD65" s="34"/>
      <c r="DE65" s="34"/>
      <c r="DF65" s="34"/>
      <c r="DG65" s="34"/>
      <c r="DH65" s="34"/>
      <c r="DI65" s="34"/>
      <c r="DJ65" s="34"/>
      <c r="DK65" s="34"/>
      <c r="DL65" s="34"/>
      <c r="DM65" s="34"/>
      <c r="DN65" s="34"/>
      <c r="DO65" s="34"/>
      <c r="DP65" s="34"/>
    </row>
  </sheetData>
  <mergeCells count="222">
    <mergeCell ref="BL55:CF55"/>
    <mergeCell ref="CG55:DN55"/>
    <mergeCell ref="BL56:DN58"/>
    <mergeCell ref="BL59:BT59"/>
    <mergeCell ref="BU59:CA59"/>
    <mergeCell ref="CB59:CM59"/>
    <mergeCell ref="BL50:CF50"/>
    <mergeCell ref="CG50:DN50"/>
    <mergeCell ref="BL51:CF51"/>
    <mergeCell ref="CG51:DN51"/>
    <mergeCell ref="BL52:CF52"/>
    <mergeCell ref="CG52:DN52"/>
    <mergeCell ref="BL53:CF53"/>
    <mergeCell ref="CG53:DN53"/>
    <mergeCell ref="BL54:CF54"/>
    <mergeCell ref="CG54:DN54"/>
    <mergeCell ref="BL34:BN34"/>
    <mergeCell ref="BO34:DN34"/>
    <mergeCell ref="CB36:CG36"/>
    <mergeCell ref="BL38:BN38"/>
    <mergeCell ref="BO38:DN38"/>
    <mergeCell ref="BO35:DN35"/>
    <mergeCell ref="BJ42:BK42"/>
    <mergeCell ref="BL42:DN42"/>
    <mergeCell ref="BL44:CF44"/>
    <mergeCell ref="CG44:DN44"/>
    <mergeCell ref="BU40:BZ40"/>
    <mergeCell ref="BO39:DN39"/>
    <mergeCell ref="CS29:CZ29"/>
    <mergeCell ref="BO30:CB30"/>
    <mergeCell ref="CC30:CJ30"/>
    <mergeCell ref="CK30:CR30"/>
    <mergeCell ref="CS30:CZ30"/>
    <mergeCell ref="BO31:CB31"/>
    <mergeCell ref="CC31:CJ31"/>
    <mergeCell ref="CK31:CR31"/>
    <mergeCell ref="BL26:BN26"/>
    <mergeCell ref="BO26:DN26"/>
    <mergeCell ref="CS31:CZ31"/>
    <mergeCell ref="BO27:CB27"/>
    <mergeCell ref="CC27:CJ27"/>
    <mergeCell ref="CK27:CR27"/>
    <mergeCell ref="CS27:CZ27"/>
    <mergeCell ref="BO28:CB28"/>
    <mergeCell ref="CC28:CJ28"/>
    <mergeCell ref="CK28:CR28"/>
    <mergeCell ref="CS28:CZ28"/>
    <mergeCell ref="BO12:DN12"/>
    <mergeCell ref="BU8:BY8"/>
    <mergeCell ref="CI9:DN9"/>
    <mergeCell ref="CI10:DN10"/>
    <mergeCell ref="BO16:BZ16"/>
    <mergeCell ref="BO15:BZ15"/>
    <mergeCell ref="BO13:BZ13"/>
    <mergeCell ref="BO14:BZ14"/>
    <mergeCell ref="BO18:BZ18"/>
    <mergeCell ref="BO17:BZ17"/>
    <mergeCell ref="BJ63:CB65"/>
    <mergeCell ref="CD63:CV65"/>
    <mergeCell ref="CX63:DP65"/>
    <mergeCell ref="E50:R50"/>
    <mergeCell ref="S50:AJ50"/>
    <mergeCell ref="AK50:AQ50"/>
    <mergeCell ref="AR50:AX50"/>
    <mergeCell ref="AY50:BG50"/>
    <mergeCell ref="B63:T65"/>
    <mergeCell ref="V63:AN65"/>
    <mergeCell ref="AY51:BG52"/>
    <mergeCell ref="E53:R54"/>
    <mergeCell ref="S53:AJ54"/>
    <mergeCell ref="AK53:AQ54"/>
    <mergeCell ref="AR53:AX54"/>
    <mergeCell ref="AY53:BG54"/>
    <mergeCell ref="AR55:AX56"/>
    <mergeCell ref="AY55:BG56"/>
    <mergeCell ref="E57:R58"/>
    <mergeCell ref="S57:AJ58"/>
    <mergeCell ref="AK57:AQ58"/>
    <mergeCell ref="AR57:AX58"/>
    <mergeCell ref="AY57:BG58"/>
    <mergeCell ref="AR59:AX60"/>
    <mergeCell ref="E51:R52"/>
    <mergeCell ref="S51:AJ52"/>
    <mergeCell ref="AK51:AQ52"/>
    <mergeCell ref="AR51:AX52"/>
    <mergeCell ref="AP63:BH65"/>
    <mergeCell ref="E59:R60"/>
    <mergeCell ref="S59:AJ60"/>
    <mergeCell ref="AK59:AQ60"/>
    <mergeCell ref="E55:R56"/>
    <mergeCell ref="S55:AJ56"/>
    <mergeCell ref="AK55:AQ56"/>
    <mergeCell ref="AY59:BG60"/>
    <mergeCell ref="CG46:DN46"/>
    <mergeCell ref="BL47:CF47"/>
    <mergeCell ref="CG47:DN47"/>
    <mergeCell ref="BL46:CF46"/>
    <mergeCell ref="C43:D43"/>
    <mergeCell ref="E43:BG43"/>
    <mergeCell ref="BL43:CF43"/>
    <mergeCell ref="CG43:DN43"/>
    <mergeCell ref="CG48:DN48"/>
    <mergeCell ref="BL48:CF48"/>
    <mergeCell ref="E44:BG49"/>
    <mergeCell ref="BL45:CF45"/>
    <mergeCell ref="CG45:DN45"/>
    <mergeCell ref="BL49:CF49"/>
    <mergeCell ref="CG49:DN49"/>
    <mergeCell ref="DA28:DN28"/>
    <mergeCell ref="DA29:DN29"/>
    <mergeCell ref="BO29:CB29"/>
    <mergeCell ref="CC29:CJ29"/>
    <mergeCell ref="CK29:CR29"/>
    <mergeCell ref="DA27:DN27"/>
    <mergeCell ref="DA32:DN32"/>
    <mergeCell ref="BO32:CB32"/>
    <mergeCell ref="CC32:CJ32"/>
    <mergeCell ref="CK32:CR32"/>
    <mergeCell ref="CS32:CZ32"/>
    <mergeCell ref="DA30:DN30"/>
    <mergeCell ref="DA31:DN31"/>
    <mergeCell ref="C9:D9"/>
    <mergeCell ref="E9:BG9"/>
    <mergeCell ref="E6:BG7"/>
    <mergeCell ref="C27:D28"/>
    <mergeCell ref="E27:BG28"/>
    <mergeCell ref="C14:D15"/>
    <mergeCell ref="E14:BG15"/>
    <mergeCell ref="H13:BG13"/>
    <mergeCell ref="E12:G12"/>
    <mergeCell ref="H12:BG12"/>
    <mergeCell ref="DJ1:DP1"/>
    <mergeCell ref="F2:AH2"/>
    <mergeCell ref="BB2:BH2"/>
    <mergeCell ref="BN2:CP2"/>
    <mergeCell ref="DJ2:DP2"/>
    <mergeCell ref="F3:AH3"/>
    <mergeCell ref="BN3:CP3"/>
    <mergeCell ref="C5:D5"/>
    <mergeCell ref="E5:BG5"/>
    <mergeCell ref="BJ5:BK5"/>
    <mergeCell ref="BL5:DN5"/>
    <mergeCell ref="CA13:CG13"/>
    <mergeCell ref="CA14:CG14"/>
    <mergeCell ref="CH13:CN13"/>
    <mergeCell ref="CO13:CU13"/>
    <mergeCell ref="CV13:DB13"/>
    <mergeCell ref="CH14:CN14"/>
    <mergeCell ref="CO14:CU14"/>
    <mergeCell ref="CV14:DB14"/>
    <mergeCell ref="F1:AH1"/>
    <mergeCell ref="BB1:BH1"/>
    <mergeCell ref="BN1:CP1"/>
    <mergeCell ref="H11:BG11"/>
    <mergeCell ref="E10:G10"/>
    <mergeCell ref="H10:BG10"/>
    <mergeCell ref="CI7:DN7"/>
    <mergeCell ref="CI8:DN8"/>
    <mergeCell ref="BL6:CG6"/>
    <mergeCell ref="BL7:BT8"/>
    <mergeCell ref="BU7:BY7"/>
    <mergeCell ref="BZ7:CC8"/>
    <mergeCell ref="CE7:CH7"/>
    <mergeCell ref="BJ11:BK11"/>
    <mergeCell ref="BL11:DN11"/>
    <mergeCell ref="BL12:BN12"/>
    <mergeCell ref="CA18:CG18"/>
    <mergeCell ref="CH18:CN18"/>
    <mergeCell ref="CO18:CU18"/>
    <mergeCell ref="CV18:DB18"/>
    <mergeCell ref="CA15:CG15"/>
    <mergeCell ref="CH15:CN15"/>
    <mergeCell ref="CO15:CU15"/>
    <mergeCell ref="CV15:DB15"/>
    <mergeCell ref="CA16:CG16"/>
    <mergeCell ref="CH16:CN16"/>
    <mergeCell ref="CO16:CU16"/>
    <mergeCell ref="CV16:DB16"/>
    <mergeCell ref="DC13:DN13"/>
    <mergeCell ref="DC14:DN14"/>
    <mergeCell ref="DC15:DN15"/>
    <mergeCell ref="DC16:DN16"/>
    <mergeCell ref="DC17:DN17"/>
    <mergeCell ref="DC18:DN18"/>
    <mergeCell ref="CO21:CU21"/>
    <mergeCell ref="CV21:DB21"/>
    <mergeCell ref="CA22:CG22"/>
    <mergeCell ref="CH22:CN22"/>
    <mergeCell ref="CO22:CU22"/>
    <mergeCell ref="CV22:DB22"/>
    <mergeCell ref="CA19:CG19"/>
    <mergeCell ref="CH19:CN19"/>
    <mergeCell ref="CO19:CU19"/>
    <mergeCell ref="CV19:DB19"/>
    <mergeCell ref="CA20:CG20"/>
    <mergeCell ref="CH20:CN20"/>
    <mergeCell ref="CO20:CU20"/>
    <mergeCell ref="CV20:DB20"/>
    <mergeCell ref="CA17:CG17"/>
    <mergeCell ref="CH17:CN17"/>
    <mergeCell ref="CO17:CU17"/>
    <mergeCell ref="CV17:DB17"/>
    <mergeCell ref="DC25:DN25"/>
    <mergeCell ref="DC19:DN19"/>
    <mergeCell ref="DC20:DN20"/>
    <mergeCell ref="DC21:DN21"/>
    <mergeCell ref="DC22:DN22"/>
    <mergeCell ref="DC23:DN23"/>
    <mergeCell ref="DC24:DN24"/>
    <mergeCell ref="CA23:CG23"/>
    <mergeCell ref="CH23:CN23"/>
    <mergeCell ref="CO23:CU23"/>
    <mergeCell ref="CV23:DB23"/>
    <mergeCell ref="BO24:DB24"/>
    <mergeCell ref="BO25:DB25"/>
    <mergeCell ref="BO20:BZ20"/>
    <mergeCell ref="BO19:BZ19"/>
    <mergeCell ref="BO21:BZ21"/>
    <mergeCell ref="CA21:CG21"/>
    <mergeCell ref="CH21:CN21"/>
    <mergeCell ref="BO23:BZ23"/>
    <mergeCell ref="BO22:BZ22"/>
  </mergeCells>
  <printOptions horizontalCentered="1"/>
  <pageMargins left="0.86614173228346458" right="0.6692913385826772" top="0.47244094488188981" bottom="0.19685039370078741"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0EF8-80C7-4159-AF10-338118B8184C}">
  <dimension ref="A1:DP65"/>
  <sheetViews>
    <sheetView showGridLines="0" zoomScaleNormal="100" workbookViewId="0"/>
  </sheetViews>
  <sheetFormatPr defaultRowHeight="12" x14ac:dyDescent="0.2"/>
  <cols>
    <col min="1" max="120" width="1.42578125" style="1" customWidth="1"/>
    <col min="121" max="16384" width="9.140625" style="1"/>
  </cols>
  <sheetData>
    <row r="1" spans="1:120" ht="12" customHeight="1" x14ac:dyDescent="0.2">
      <c r="F1" s="52" t="s">
        <v>102</v>
      </c>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P1" s="16" t="s">
        <v>101</v>
      </c>
      <c r="AQ1" s="15" t="s">
        <v>122</v>
      </c>
      <c r="BB1" s="77" t="s">
        <v>103</v>
      </c>
      <c r="BC1" s="77"/>
      <c r="BD1" s="77"/>
      <c r="BE1" s="77"/>
      <c r="BF1" s="77"/>
      <c r="BG1" s="77"/>
      <c r="BH1" s="77"/>
      <c r="BN1" s="52" t="s">
        <v>102</v>
      </c>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X1" s="16" t="s">
        <v>101</v>
      </c>
      <c r="CY1" s="15" t="str">
        <f>AQ1</f>
        <v>SMJ/FRM/QCD/03/03</v>
      </c>
      <c r="DJ1" s="77" t="s">
        <v>99</v>
      </c>
      <c r="DK1" s="77"/>
      <c r="DL1" s="77"/>
      <c r="DM1" s="77"/>
      <c r="DN1" s="77"/>
      <c r="DO1" s="77"/>
      <c r="DP1" s="77"/>
    </row>
    <row r="2" spans="1:120" ht="12" customHeight="1" x14ac:dyDescent="0.2">
      <c r="F2" s="78" t="s">
        <v>98</v>
      </c>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P2" s="16" t="s">
        <v>97</v>
      </c>
      <c r="AQ2" s="15" t="s">
        <v>96</v>
      </c>
      <c r="BB2" s="77" t="s">
        <v>95</v>
      </c>
      <c r="BC2" s="77"/>
      <c r="BD2" s="77"/>
      <c r="BE2" s="77"/>
      <c r="BF2" s="77"/>
      <c r="BG2" s="77"/>
      <c r="BH2" s="77"/>
      <c r="BN2" s="78" t="s">
        <v>98</v>
      </c>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X2" s="16" t="s">
        <v>97</v>
      </c>
      <c r="CY2" s="15" t="s">
        <v>96</v>
      </c>
      <c r="DJ2" s="77" t="s">
        <v>95</v>
      </c>
      <c r="DK2" s="77"/>
      <c r="DL2" s="77"/>
      <c r="DM2" s="77"/>
      <c r="DN2" s="77"/>
      <c r="DO2" s="77"/>
      <c r="DP2" s="77"/>
    </row>
    <row r="3" spans="1:120" ht="12" customHeight="1" x14ac:dyDescent="0.2">
      <c r="A3" s="2"/>
      <c r="B3" s="2"/>
      <c r="C3" s="2"/>
      <c r="D3" s="2"/>
      <c r="E3" s="2"/>
      <c r="F3" s="76" t="s">
        <v>120</v>
      </c>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76" t="str">
        <f>F3</f>
        <v>UoM for determining Volatile Matter in Coal</v>
      </c>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2"/>
      <c r="CR3" s="2"/>
      <c r="CS3" s="2"/>
      <c r="CT3" s="2"/>
      <c r="CU3" s="2"/>
      <c r="CV3" s="2"/>
      <c r="CW3" s="2"/>
      <c r="CX3" s="2"/>
      <c r="CY3" s="2"/>
      <c r="CZ3" s="2"/>
      <c r="DA3" s="2"/>
      <c r="DB3" s="2"/>
      <c r="DC3" s="2"/>
      <c r="DD3" s="2"/>
      <c r="DE3" s="2"/>
      <c r="DF3" s="2"/>
      <c r="DG3" s="2"/>
      <c r="DH3" s="2"/>
      <c r="DI3" s="2"/>
      <c r="DJ3" s="2"/>
      <c r="DK3" s="2"/>
      <c r="DL3" s="2"/>
      <c r="DM3" s="2"/>
      <c r="DN3" s="2"/>
      <c r="DO3" s="2"/>
      <c r="DP3" s="2"/>
    </row>
    <row r="4" spans="1:120" ht="12" customHeight="1" x14ac:dyDescent="0.2"/>
    <row r="5" spans="1:120" ht="12" customHeight="1" x14ac:dyDescent="0.2">
      <c r="A5" s="4"/>
      <c r="B5" s="4"/>
      <c r="C5" s="52" t="str">
        <f>"1."</f>
        <v>1.</v>
      </c>
      <c r="D5" s="52"/>
      <c r="E5" s="52" t="s">
        <v>93</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4"/>
      <c r="BI5" s="4"/>
      <c r="BJ5" s="52" t="str">
        <f>"6."</f>
        <v>6.</v>
      </c>
      <c r="BK5" s="52"/>
      <c r="BL5" s="52" t="s">
        <v>92</v>
      </c>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row>
    <row r="6" spans="1:120" ht="12" customHeight="1" x14ac:dyDescent="0.2">
      <c r="E6" s="47" t="s">
        <v>125</v>
      </c>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L6" s="51" t="s">
        <v>127</v>
      </c>
      <c r="BM6" s="51"/>
      <c r="BN6" s="51"/>
      <c r="BO6" s="51"/>
      <c r="BP6" s="51"/>
      <c r="BQ6" s="51"/>
      <c r="BR6" s="51"/>
      <c r="BS6" s="51"/>
      <c r="BT6" s="51"/>
      <c r="BU6" s="51"/>
      <c r="BV6" s="51"/>
      <c r="BW6" s="51"/>
      <c r="BX6" s="51"/>
      <c r="BY6" s="51"/>
      <c r="BZ6" s="51"/>
      <c r="CA6" s="51"/>
      <c r="CB6" s="51"/>
      <c r="CC6" s="51"/>
      <c r="CD6" s="51"/>
      <c r="CE6" s="51"/>
      <c r="CF6" s="51"/>
      <c r="CG6" s="51"/>
    </row>
    <row r="7" spans="1:120" ht="12" customHeight="1" x14ac:dyDescent="0.2">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K7" s="17"/>
      <c r="BL7" s="35" t="s">
        <v>128</v>
      </c>
      <c r="BM7" s="35"/>
      <c r="BN7" s="35"/>
      <c r="BO7" s="35"/>
      <c r="BP7" s="35"/>
      <c r="BQ7" s="35"/>
      <c r="BR7" s="35"/>
      <c r="BS7" s="35"/>
      <c r="BT7" s="35"/>
      <c r="BU7" s="35"/>
      <c r="BV7" s="35"/>
      <c r="BW7" s="73" t="s">
        <v>111</v>
      </c>
      <c r="BX7" s="73"/>
      <c r="BY7" s="73"/>
      <c r="BZ7" s="73"/>
      <c r="CA7" s="73"/>
      <c r="CB7" s="74" t="s">
        <v>88</v>
      </c>
      <c r="CC7" s="74"/>
      <c r="CD7" s="74"/>
      <c r="CE7" s="74"/>
      <c r="CG7" s="75" t="s">
        <v>87</v>
      </c>
      <c r="CH7" s="75"/>
      <c r="CI7" s="75"/>
      <c r="CJ7" s="75"/>
      <c r="CK7" s="89" t="s">
        <v>86</v>
      </c>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row>
    <row r="8" spans="1:120" ht="12" customHeight="1" x14ac:dyDescent="0.2">
      <c r="BK8" s="17"/>
      <c r="BL8" s="35"/>
      <c r="BM8" s="35"/>
      <c r="BN8" s="35"/>
      <c r="BO8" s="35"/>
      <c r="BP8" s="35"/>
      <c r="BQ8" s="35"/>
      <c r="BR8" s="35"/>
      <c r="BS8" s="35"/>
      <c r="BT8" s="35"/>
      <c r="BU8" s="35"/>
      <c r="BV8" s="35"/>
      <c r="BW8" s="90" t="s">
        <v>85</v>
      </c>
      <c r="BX8" s="90"/>
      <c r="BY8" s="90"/>
      <c r="BZ8" s="90"/>
      <c r="CA8" s="90"/>
      <c r="CB8" s="74"/>
      <c r="CC8" s="74"/>
      <c r="CD8" s="74"/>
      <c r="CE8" s="74"/>
      <c r="CG8" s="11"/>
      <c r="CH8" s="11"/>
      <c r="CI8" s="11"/>
      <c r="CJ8" s="11"/>
      <c r="CK8" s="89" t="s">
        <v>131</v>
      </c>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row>
    <row r="9" spans="1:120" ht="12" customHeight="1" x14ac:dyDescent="0.2">
      <c r="A9" s="4"/>
      <c r="B9" s="4"/>
      <c r="C9" s="52" t="str">
        <f>"2."</f>
        <v>2.</v>
      </c>
      <c r="D9" s="52"/>
      <c r="E9" s="52" t="s">
        <v>84</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4"/>
      <c r="BK9" s="17"/>
      <c r="BL9" s="17"/>
      <c r="BN9" s="3"/>
      <c r="BO9" s="3"/>
      <c r="BP9" s="3"/>
      <c r="BQ9" s="3"/>
      <c r="BR9" s="3"/>
      <c r="BS9" s="3"/>
      <c r="BT9" s="3"/>
      <c r="BU9" s="3"/>
      <c r="BV9" s="3"/>
      <c r="BW9" s="3"/>
      <c r="BX9" s="3"/>
      <c r="BY9" s="3"/>
      <c r="BZ9" s="3"/>
      <c r="CA9" s="3"/>
      <c r="CB9" s="3"/>
      <c r="CC9" s="3"/>
      <c r="CD9" s="3"/>
      <c r="CE9" s="3"/>
      <c r="CF9" s="3"/>
      <c r="CG9" s="3"/>
      <c r="CH9" s="3"/>
      <c r="CI9" s="3"/>
      <c r="CJ9" s="3"/>
      <c r="CK9" s="89" t="s">
        <v>132</v>
      </c>
      <c r="CL9" s="89"/>
      <c r="CM9" s="89"/>
      <c r="CN9" s="89"/>
      <c r="CO9" s="89"/>
      <c r="CP9" s="89"/>
      <c r="CQ9" s="89"/>
      <c r="CR9" s="89"/>
      <c r="CS9" s="89"/>
      <c r="CT9" s="89"/>
      <c r="CU9" s="89"/>
      <c r="CV9" s="89"/>
      <c r="CW9" s="89"/>
      <c r="CX9" s="89"/>
      <c r="CY9" s="89"/>
      <c r="CZ9" s="89"/>
      <c r="DA9" s="89"/>
      <c r="DB9" s="89"/>
      <c r="DC9" s="89"/>
      <c r="DD9" s="89"/>
      <c r="DE9" s="89"/>
      <c r="DF9" s="89"/>
      <c r="DG9" s="89"/>
      <c r="DH9" s="89"/>
      <c r="DI9" s="89"/>
      <c r="DJ9" s="89"/>
      <c r="DK9" s="89"/>
      <c r="DL9" s="89"/>
      <c r="DM9" s="89"/>
      <c r="DN9" s="89"/>
    </row>
    <row r="10" spans="1:120" ht="12" customHeight="1" x14ac:dyDescent="0.2">
      <c r="E10" s="71" t="str">
        <f>"2.1."</f>
        <v>2.1.</v>
      </c>
      <c r="F10" s="71"/>
      <c r="G10" s="71"/>
      <c r="H10" s="53" t="s">
        <v>82</v>
      </c>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L10" s="14"/>
      <c r="BM10" s="14"/>
      <c r="BN10" s="14"/>
      <c r="BO10" s="14"/>
      <c r="BP10" s="14"/>
      <c r="BQ10" s="14"/>
      <c r="BR10" s="14"/>
      <c r="BS10" s="14"/>
      <c r="BT10" s="14"/>
      <c r="BU10" s="13"/>
      <c r="BV10" s="13"/>
      <c r="BW10" s="13"/>
      <c r="BX10" s="13"/>
      <c r="BY10" s="13"/>
      <c r="BZ10" s="12"/>
      <c r="CA10" s="12"/>
      <c r="CB10" s="12"/>
      <c r="CC10" s="12"/>
      <c r="CE10" s="11"/>
      <c r="CF10" s="11"/>
      <c r="CG10" s="11"/>
      <c r="CH10" s="11"/>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row>
    <row r="11" spans="1:120" ht="12" customHeight="1" x14ac:dyDescent="0.2">
      <c r="H11" s="70" t="s">
        <v>81</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I11" s="4"/>
      <c r="BJ11" s="52" t="str">
        <f>"7."</f>
        <v>7.</v>
      </c>
      <c r="BK11" s="52"/>
      <c r="BL11" s="52" t="s">
        <v>80</v>
      </c>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row>
    <row r="12" spans="1:120" ht="12" customHeight="1" x14ac:dyDescent="0.2">
      <c r="E12" s="71" t="str">
        <f>"2.2."</f>
        <v>2.2.</v>
      </c>
      <c r="F12" s="71"/>
      <c r="G12" s="71"/>
      <c r="H12" s="53" t="s">
        <v>79</v>
      </c>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L12" s="53" t="s">
        <v>78</v>
      </c>
      <c r="BM12" s="53"/>
      <c r="BN12" s="53"/>
      <c r="BO12" s="53" t="s">
        <v>29</v>
      </c>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row>
    <row r="13" spans="1:120" ht="12" customHeight="1" x14ac:dyDescent="0.2">
      <c r="H13" s="70" t="s">
        <v>77</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O13" s="49" t="s">
        <v>76</v>
      </c>
      <c r="BP13" s="49"/>
      <c r="BQ13" s="49"/>
      <c r="BR13" s="49"/>
      <c r="BS13" s="49"/>
      <c r="BT13" s="49"/>
      <c r="BU13" s="49"/>
      <c r="BV13" s="49"/>
      <c r="BW13" s="49"/>
      <c r="BX13" s="49"/>
      <c r="BY13" s="49"/>
      <c r="BZ13" s="49"/>
      <c r="CA13" s="49" t="s">
        <v>75</v>
      </c>
      <c r="CB13" s="49"/>
      <c r="CC13" s="49"/>
      <c r="CD13" s="49"/>
      <c r="CE13" s="49"/>
      <c r="CF13" s="49"/>
      <c r="CG13" s="49"/>
      <c r="CH13" s="49"/>
      <c r="CI13" s="49"/>
      <c r="CJ13" s="49" t="s">
        <v>74</v>
      </c>
      <c r="CK13" s="49"/>
      <c r="CL13" s="49"/>
      <c r="CM13" s="49"/>
      <c r="CN13" s="49"/>
      <c r="CO13" s="49"/>
      <c r="CP13" s="49"/>
      <c r="CQ13" s="49"/>
      <c r="CR13" s="49"/>
      <c r="CS13" s="49" t="s">
        <v>73</v>
      </c>
      <c r="CT13" s="49"/>
      <c r="CU13" s="49"/>
      <c r="CV13" s="49"/>
      <c r="CW13" s="49"/>
      <c r="CX13" s="49"/>
      <c r="CY13" s="49"/>
      <c r="CZ13" s="49"/>
      <c r="DA13" s="49"/>
      <c r="DB13" s="49" t="s">
        <v>130</v>
      </c>
      <c r="DC13" s="49"/>
      <c r="DD13" s="49"/>
      <c r="DE13" s="49"/>
      <c r="DF13" s="49"/>
      <c r="DG13" s="49"/>
      <c r="DH13" s="49"/>
      <c r="DI13" s="49"/>
      <c r="DJ13" s="49"/>
      <c r="DK13" s="49"/>
      <c r="DL13" s="49"/>
      <c r="DM13" s="49"/>
      <c r="DN13" s="49"/>
    </row>
    <row r="14" spans="1:120" ht="12" customHeight="1" x14ac:dyDescent="0.2">
      <c r="C14" s="60" t="str">
        <f>"3."</f>
        <v>3.</v>
      </c>
      <c r="D14" s="60"/>
      <c r="E14" s="61" t="s">
        <v>71</v>
      </c>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O14" s="68" t="s">
        <v>70</v>
      </c>
      <c r="BP14" s="68"/>
      <c r="BQ14" s="68"/>
      <c r="BR14" s="68"/>
      <c r="BS14" s="68"/>
      <c r="BT14" s="68"/>
      <c r="BU14" s="68"/>
      <c r="BV14" s="68"/>
      <c r="BW14" s="68"/>
      <c r="BX14" s="68"/>
      <c r="BY14" s="68"/>
      <c r="BZ14" s="68"/>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8" t="str">
        <f>IFERROR(ROUND(100*(CJ14-CS14)/(CJ14-CA14),5),"--")</f>
        <v>--</v>
      </c>
      <c r="DC14" s="68"/>
      <c r="DD14" s="68"/>
      <c r="DE14" s="68"/>
      <c r="DF14" s="68"/>
      <c r="DG14" s="68"/>
      <c r="DH14" s="68"/>
      <c r="DI14" s="68"/>
      <c r="DJ14" s="68"/>
      <c r="DK14" s="68"/>
      <c r="DL14" s="68"/>
      <c r="DM14" s="68"/>
      <c r="DN14" s="68"/>
    </row>
    <row r="15" spans="1:120" ht="12" customHeight="1" x14ac:dyDescent="0.2">
      <c r="A15" s="4"/>
      <c r="B15" s="4"/>
      <c r="C15" s="60"/>
      <c r="D15" s="60"/>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4"/>
      <c r="BO15" s="68" t="s">
        <v>69</v>
      </c>
      <c r="BP15" s="68"/>
      <c r="BQ15" s="68"/>
      <c r="BR15" s="68"/>
      <c r="BS15" s="68"/>
      <c r="BT15" s="68"/>
      <c r="BU15" s="68"/>
      <c r="BV15" s="68"/>
      <c r="BW15" s="68"/>
      <c r="BX15" s="68"/>
      <c r="BY15" s="68"/>
      <c r="BZ15" s="68"/>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8" t="str">
        <f t="shared" ref="DB15:DB23" si="0">IFERROR(ROUND(100*(CJ15-CS15)/(CJ15-CA15),5),"--")</f>
        <v>--</v>
      </c>
      <c r="DC15" s="68"/>
      <c r="DD15" s="68"/>
      <c r="DE15" s="68"/>
      <c r="DF15" s="68"/>
      <c r="DG15" s="68"/>
      <c r="DH15" s="68"/>
      <c r="DI15" s="68"/>
      <c r="DJ15" s="68"/>
      <c r="DK15" s="68"/>
      <c r="DL15" s="68"/>
      <c r="DM15" s="68"/>
      <c r="DN15" s="68"/>
    </row>
    <row r="16" spans="1:120" ht="12" customHeight="1" x14ac:dyDescent="0.2">
      <c r="BO16" s="68" t="s">
        <v>68</v>
      </c>
      <c r="BP16" s="68"/>
      <c r="BQ16" s="68"/>
      <c r="BR16" s="68"/>
      <c r="BS16" s="68"/>
      <c r="BT16" s="68"/>
      <c r="BU16" s="68"/>
      <c r="BV16" s="68"/>
      <c r="BW16" s="68"/>
      <c r="BX16" s="68"/>
      <c r="BY16" s="68"/>
      <c r="BZ16" s="68"/>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8" t="str">
        <f t="shared" si="0"/>
        <v>--</v>
      </c>
      <c r="DC16" s="68"/>
      <c r="DD16" s="68"/>
      <c r="DE16" s="68"/>
      <c r="DF16" s="68"/>
      <c r="DG16" s="68"/>
      <c r="DH16" s="68"/>
      <c r="DI16" s="68"/>
      <c r="DJ16" s="68"/>
      <c r="DK16" s="68"/>
      <c r="DL16" s="68"/>
      <c r="DM16" s="68"/>
      <c r="DN16" s="68"/>
    </row>
    <row r="17" spans="1:118" ht="12" customHeight="1" x14ac:dyDescent="0.2">
      <c r="BO17" s="68" t="s">
        <v>67</v>
      </c>
      <c r="BP17" s="68"/>
      <c r="BQ17" s="68"/>
      <c r="BR17" s="68"/>
      <c r="BS17" s="68"/>
      <c r="BT17" s="68"/>
      <c r="BU17" s="68"/>
      <c r="BV17" s="68"/>
      <c r="BW17" s="68"/>
      <c r="BX17" s="68"/>
      <c r="BY17" s="68"/>
      <c r="BZ17" s="68"/>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8" t="str">
        <f t="shared" si="0"/>
        <v>--</v>
      </c>
      <c r="DC17" s="68"/>
      <c r="DD17" s="68"/>
      <c r="DE17" s="68"/>
      <c r="DF17" s="68"/>
      <c r="DG17" s="68"/>
      <c r="DH17" s="68"/>
      <c r="DI17" s="68"/>
      <c r="DJ17" s="68"/>
      <c r="DK17" s="68"/>
      <c r="DL17" s="68"/>
      <c r="DM17" s="68"/>
      <c r="DN17" s="68"/>
    </row>
    <row r="18" spans="1:118" ht="12" customHeight="1" x14ac:dyDescent="0.2">
      <c r="BO18" s="68" t="s">
        <v>66</v>
      </c>
      <c r="BP18" s="68"/>
      <c r="BQ18" s="68"/>
      <c r="BR18" s="68"/>
      <c r="BS18" s="68"/>
      <c r="BT18" s="68"/>
      <c r="BU18" s="68"/>
      <c r="BV18" s="68"/>
      <c r="BW18" s="68"/>
      <c r="BX18" s="68"/>
      <c r="BY18" s="68"/>
      <c r="BZ18" s="68"/>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8" t="str">
        <f t="shared" si="0"/>
        <v>--</v>
      </c>
      <c r="DC18" s="68"/>
      <c r="DD18" s="68"/>
      <c r="DE18" s="68"/>
      <c r="DF18" s="68"/>
      <c r="DG18" s="68"/>
      <c r="DH18" s="68"/>
      <c r="DI18" s="68"/>
      <c r="DJ18" s="68"/>
      <c r="DK18" s="68"/>
      <c r="DL18" s="68"/>
      <c r="DM18" s="68"/>
      <c r="DN18" s="68"/>
    </row>
    <row r="19" spans="1:118" ht="12" customHeight="1" x14ac:dyDescent="0.2">
      <c r="BO19" s="68" t="s">
        <v>65</v>
      </c>
      <c r="BP19" s="68"/>
      <c r="BQ19" s="68"/>
      <c r="BR19" s="68"/>
      <c r="BS19" s="68"/>
      <c r="BT19" s="68"/>
      <c r="BU19" s="68"/>
      <c r="BV19" s="68"/>
      <c r="BW19" s="68"/>
      <c r="BX19" s="68"/>
      <c r="BY19" s="68"/>
      <c r="BZ19" s="68"/>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8" t="str">
        <f t="shared" si="0"/>
        <v>--</v>
      </c>
      <c r="DC19" s="68"/>
      <c r="DD19" s="68"/>
      <c r="DE19" s="68"/>
      <c r="DF19" s="68"/>
      <c r="DG19" s="68"/>
      <c r="DH19" s="68"/>
      <c r="DI19" s="68"/>
      <c r="DJ19" s="68"/>
      <c r="DK19" s="68"/>
      <c r="DL19" s="68"/>
      <c r="DM19" s="68"/>
      <c r="DN19" s="68"/>
    </row>
    <row r="20" spans="1:118" ht="12" customHeight="1" x14ac:dyDescent="0.2">
      <c r="BO20" s="68" t="s">
        <v>64</v>
      </c>
      <c r="BP20" s="68"/>
      <c r="BQ20" s="68"/>
      <c r="BR20" s="68"/>
      <c r="BS20" s="68"/>
      <c r="BT20" s="68"/>
      <c r="BU20" s="68"/>
      <c r="BV20" s="68"/>
      <c r="BW20" s="68"/>
      <c r="BX20" s="68"/>
      <c r="BY20" s="68"/>
      <c r="BZ20" s="68"/>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8" t="str">
        <f t="shared" si="0"/>
        <v>--</v>
      </c>
      <c r="DC20" s="68"/>
      <c r="DD20" s="68"/>
      <c r="DE20" s="68"/>
      <c r="DF20" s="68"/>
      <c r="DG20" s="68"/>
      <c r="DH20" s="68"/>
      <c r="DI20" s="68"/>
      <c r="DJ20" s="68"/>
      <c r="DK20" s="68"/>
      <c r="DL20" s="68"/>
      <c r="DM20" s="68"/>
      <c r="DN20" s="68"/>
    </row>
    <row r="21" spans="1:118" ht="12" customHeight="1" x14ac:dyDescent="0.2">
      <c r="BO21" s="68" t="s">
        <v>63</v>
      </c>
      <c r="BP21" s="68"/>
      <c r="BQ21" s="68"/>
      <c r="BR21" s="68"/>
      <c r="BS21" s="68"/>
      <c r="BT21" s="68"/>
      <c r="BU21" s="68"/>
      <c r="BV21" s="68"/>
      <c r="BW21" s="68"/>
      <c r="BX21" s="68"/>
      <c r="BY21" s="68"/>
      <c r="BZ21" s="68"/>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8" t="str">
        <f t="shared" si="0"/>
        <v>--</v>
      </c>
      <c r="DC21" s="68"/>
      <c r="DD21" s="68"/>
      <c r="DE21" s="68"/>
      <c r="DF21" s="68"/>
      <c r="DG21" s="68"/>
      <c r="DH21" s="68"/>
      <c r="DI21" s="68"/>
      <c r="DJ21" s="68"/>
      <c r="DK21" s="68"/>
      <c r="DL21" s="68"/>
      <c r="DM21" s="68"/>
      <c r="DN21" s="68"/>
    </row>
    <row r="22" spans="1:118" ht="12" customHeight="1" x14ac:dyDescent="0.2">
      <c r="BO22" s="68" t="s">
        <v>62</v>
      </c>
      <c r="BP22" s="68"/>
      <c r="BQ22" s="68"/>
      <c r="BR22" s="68"/>
      <c r="BS22" s="68"/>
      <c r="BT22" s="68"/>
      <c r="BU22" s="68"/>
      <c r="BV22" s="68"/>
      <c r="BW22" s="68"/>
      <c r="BX22" s="68"/>
      <c r="BY22" s="68"/>
      <c r="BZ22" s="68"/>
      <c r="CA22" s="69"/>
      <c r="CB22" s="69"/>
      <c r="CC22" s="69"/>
      <c r="CD22" s="69"/>
      <c r="CE22" s="69"/>
      <c r="CF22" s="69"/>
      <c r="CG22" s="69"/>
      <c r="CH22" s="69"/>
      <c r="CI22" s="69"/>
      <c r="CJ22" s="69"/>
      <c r="CK22" s="69"/>
      <c r="CL22" s="69"/>
      <c r="CM22" s="69"/>
      <c r="CN22" s="69"/>
      <c r="CO22" s="69"/>
      <c r="CP22" s="69"/>
      <c r="CQ22" s="69"/>
      <c r="CR22" s="69"/>
      <c r="CS22" s="69"/>
      <c r="CT22" s="69"/>
      <c r="CU22" s="69"/>
      <c r="CV22" s="69"/>
      <c r="CW22" s="69"/>
      <c r="CX22" s="69"/>
      <c r="CY22" s="69"/>
      <c r="CZ22" s="69"/>
      <c r="DA22" s="69"/>
      <c r="DB22" s="68" t="str">
        <f t="shared" si="0"/>
        <v>--</v>
      </c>
      <c r="DC22" s="68"/>
      <c r="DD22" s="68"/>
      <c r="DE22" s="68"/>
      <c r="DF22" s="68"/>
      <c r="DG22" s="68"/>
      <c r="DH22" s="68"/>
      <c r="DI22" s="68"/>
      <c r="DJ22" s="68"/>
      <c r="DK22" s="68"/>
      <c r="DL22" s="68"/>
      <c r="DM22" s="68"/>
      <c r="DN22" s="68"/>
    </row>
    <row r="23" spans="1:118" ht="12" customHeight="1" x14ac:dyDescent="0.2">
      <c r="BO23" s="68" t="s">
        <v>61</v>
      </c>
      <c r="BP23" s="68"/>
      <c r="BQ23" s="68"/>
      <c r="BR23" s="68"/>
      <c r="BS23" s="68"/>
      <c r="BT23" s="68"/>
      <c r="BU23" s="68"/>
      <c r="BV23" s="68"/>
      <c r="BW23" s="68"/>
      <c r="BX23" s="68"/>
      <c r="BY23" s="68"/>
      <c r="BZ23" s="68"/>
      <c r="CA23" s="69"/>
      <c r="CB23" s="69"/>
      <c r="CC23" s="69"/>
      <c r="CD23" s="69"/>
      <c r="CE23" s="69"/>
      <c r="CF23" s="69"/>
      <c r="CG23" s="69"/>
      <c r="CH23" s="69"/>
      <c r="CI23" s="69"/>
      <c r="CJ23" s="69"/>
      <c r="CK23" s="69"/>
      <c r="CL23" s="69"/>
      <c r="CM23" s="69"/>
      <c r="CN23" s="69"/>
      <c r="CO23" s="69"/>
      <c r="CP23" s="69"/>
      <c r="CQ23" s="69"/>
      <c r="CR23" s="69"/>
      <c r="CS23" s="69"/>
      <c r="CT23" s="69"/>
      <c r="CU23" s="69"/>
      <c r="CV23" s="69"/>
      <c r="CW23" s="69"/>
      <c r="CX23" s="69"/>
      <c r="CY23" s="69"/>
      <c r="CZ23" s="69"/>
      <c r="DA23" s="69"/>
      <c r="DB23" s="68" t="str">
        <f t="shared" si="0"/>
        <v>--</v>
      </c>
      <c r="DC23" s="68"/>
      <c r="DD23" s="68"/>
      <c r="DE23" s="68"/>
      <c r="DF23" s="68"/>
      <c r="DG23" s="68"/>
      <c r="DH23" s="68"/>
      <c r="DI23" s="68"/>
      <c r="DJ23" s="68"/>
      <c r="DK23" s="68"/>
      <c r="DL23" s="68"/>
      <c r="DM23" s="68"/>
      <c r="DN23" s="68"/>
    </row>
    <row r="24" spans="1:118" ht="12" customHeight="1" x14ac:dyDescent="0.2">
      <c r="BO24" s="62" t="s">
        <v>115</v>
      </c>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3"/>
      <c r="DB24" s="64" t="str">
        <f>IFERROR(ROUND(AVERAGE(DB14:DB23),3),"--")</f>
        <v>--</v>
      </c>
      <c r="DC24" s="64"/>
      <c r="DD24" s="64"/>
      <c r="DE24" s="64"/>
      <c r="DF24" s="64"/>
      <c r="DG24" s="64"/>
      <c r="DH24" s="64"/>
      <c r="DI24" s="64"/>
      <c r="DJ24" s="64"/>
      <c r="DK24" s="64"/>
      <c r="DL24" s="64"/>
      <c r="DM24" s="64"/>
      <c r="DN24" s="64"/>
    </row>
    <row r="25" spans="1:118" ht="12" customHeight="1" x14ac:dyDescent="0.2">
      <c r="BO25" s="65" t="s">
        <v>59</v>
      </c>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6"/>
      <c r="DB25" s="67" t="str">
        <f>IFERROR(ROUND(STDEV(DB14:DB23),3),"--")</f>
        <v>--</v>
      </c>
      <c r="DC25" s="67"/>
      <c r="DD25" s="67"/>
      <c r="DE25" s="67"/>
      <c r="DF25" s="67"/>
      <c r="DG25" s="67"/>
      <c r="DH25" s="67"/>
      <c r="DI25" s="67"/>
      <c r="DJ25" s="67"/>
      <c r="DK25" s="67"/>
      <c r="DL25" s="67"/>
      <c r="DM25" s="67"/>
      <c r="DN25" s="67"/>
    </row>
    <row r="26" spans="1:118" ht="12" customHeight="1" x14ac:dyDescent="0.2">
      <c r="BL26" s="53" t="s">
        <v>58</v>
      </c>
      <c r="BM26" s="53"/>
      <c r="BN26" s="53"/>
      <c r="BO26" s="53" t="s">
        <v>57</v>
      </c>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row>
    <row r="27" spans="1:118" ht="12" customHeight="1" x14ac:dyDescent="0.25">
      <c r="C27" s="60" t="str">
        <f>"4."</f>
        <v>4.</v>
      </c>
      <c r="D27" s="60"/>
      <c r="E27" s="61" t="s">
        <v>56</v>
      </c>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O27" s="54" t="s">
        <v>35</v>
      </c>
      <c r="BP27" s="55"/>
      <c r="BQ27" s="55"/>
      <c r="BR27" s="55"/>
      <c r="BS27" s="55"/>
      <c r="BT27" s="55"/>
      <c r="BU27" s="55"/>
      <c r="BV27" s="55"/>
      <c r="BW27" s="55"/>
      <c r="BX27" s="55"/>
      <c r="BY27" s="55"/>
      <c r="BZ27" s="55"/>
      <c r="CA27" s="55"/>
      <c r="CB27" s="56"/>
      <c r="CC27" s="54" t="s">
        <v>32</v>
      </c>
      <c r="CD27" s="55"/>
      <c r="CE27" s="55"/>
      <c r="CF27" s="55"/>
      <c r="CG27" s="55"/>
      <c r="CH27" s="55"/>
      <c r="CI27" s="55"/>
      <c r="CJ27" s="56"/>
      <c r="CK27" s="54" t="s">
        <v>44</v>
      </c>
      <c r="CL27" s="55"/>
      <c r="CM27" s="55"/>
      <c r="CN27" s="55"/>
      <c r="CO27" s="55"/>
      <c r="CP27" s="55"/>
      <c r="CQ27" s="55"/>
      <c r="CR27" s="56"/>
      <c r="CS27" s="54" t="s">
        <v>55</v>
      </c>
      <c r="CT27" s="55"/>
      <c r="CU27" s="55"/>
      <c r="CV27" s="55"/>
      <c r="CW27" s="55"/>
      <c r="CX27" s="55"/>
      <c r="CY27" s="55"/>
      <c r="CZ27" s="56"/>
      <c r="DA27" s="54" t="s">
        <v>54</v>
      </c>
      <c r="DB27" s="55"/>
      <c r="DC27" s="55"/>
      <c r="DD27" s="55"/>
      <c r="DE27" s="55"/>
      <c r="DF27" s="55"/>
      <c r="DG27" s="55"/>
      <c r="DH27" s="55"/>
      <c r="DI27" s="55"/>
      <c r="DJ27" s="55"/>
      <c r="DK27" s="55"/>
      <c r="DL27" s="55"/>
      <c r="DM27" s="55"/>
      <c r="DN27" s="56"/>
    </row>
    <row r="28" spans="1:118" ht="12" customHeight="1" x14ac:dyDescent="0.2">
      <c r="A28" s="4"/>
      <c r="B28" s="4"/>
      <c r="C28" s="60"/>
      <c r="D28" s="60"/>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4"/>
      <c r="BO28" s="23" t="str">
        <f>E51</f>
        <v>Repeatability</v>
      </c>
      <c r="BP28" s="24"/>
      <c r="BQ28" s="24"/>
      <c r="BR28" s="24"/>
      <c r="BS28" s="24"/>
      <c r="BT28" s="24"/>
      <c r="BU28" s="24"/>
      <c r="BV28" s="24"/>
      <c r="BW28" s="24"/>
      <c r="BX28" s="24"/>
      <c r="BY28" s="24"/>
      <c r="BZ28" s="24"/>
      <c r="CA28" s="24"/>
      <c r="CB28" s="25"/>
      <c r="CC28" s="26" t="str">
        <f>AR51</f>
        <v>%</v>
      </c>
      <c r="CD28" s="27"/>
      <c r="CE28" s="27"/>
      <c r="CF28" s="27"/>
      <c r="CG28" s="27"/>
      <c r="CH28" s="27"/>
      <c r="CI28" s="27"/>
      <c r="CJ28" s="28"/>
      <c r="CK28" s="57" t="str">
        <f>IFERROR(ROUND(DB25/SQRT(COUNT(DB14:DB23)),5),"--")</f>
        <v>--</v>
      </c>
      <c r="CL28" s="58"/>
      <c r="CM28" s="58"/>
      <c r="CN28" s="58"/>
      <c r="CO28" s="58"/>
      <c r="CP28" s="58"/>
      <c r="CQ28" s="58"/>
      <c r="CR28" s="59"/>
      <c r="CS28" s="26">
        <v>1</v>
      </c>
      <c r="CT28" s="27"/>
      <c r="CU28" s="27"/>
      <c r="CV28" s="27"/>
      <c r="CW28" s="27"/>
      <c r="CX28" s="27"/>
      <c r="CY28" s="27"/>
      <c r="CZ28" s="28"/>
      <c r="DA28" s="29" t="str">
        <f t="shared" ref="DA28:DA34" si="1">IFERROR(ROUND(CK28/IF(CS28=1,1,SQRT(3)),7),"--")</f>
        <v>--</v>
      </c>
      <c r="DB28" s="30"/>
      <c r="DC28" s="30"/>
      <c r="DD28" s="30"/>
      <c r="DE28" s="30"/>
      <c r="DF28" s="30"/>
      <c r="DG28" s="30"/>
      <c r="DH28" s="30"/>
      <c r="DI28" s="30"/>
      <c r="DJ28" s="30"/>
      <c r="DK28" s="30"/>
      <c r="DL28" s="30"/>
      <c r="DM28" s="30"/>
      <c r="DN28" s="31"/>
    </row>
    <row r="29" spans="1:118" ht="12" customHeight="1" x14ac:dyDescent="0.2">
      <c r="BO29" s="23" t="str">
        <f>E53</f>
        <v>Balance Readability</v>
      </c>
      <c r="BP29" s="24"/>
      <c r="BQ29" s="24"/>
      <c r="BR29" s="24"/>
      <c r="BS29" s="24"/>
      <c r="BT29" s="24"/>
      <c r="BU29" s="24"/>
      <c r="BV29" s="24"/>
      <c r="BW29" s="24"/>
      <c r="BX29" s="24"/>
      <c r="BY29" s="24"/>
      <c r="BZ29" s="24"/>
      <c r="CA29" s="24"/>
      <c r="CB29" s="25"/>
      <c r="CC29" s="26" t="str">
        <f>AR53</f>
        <v>g</v>
      </c>
      <c r="CD29" s="27"/>
      <c r="CE29" s="27"/>
      <c r="CF29" s="27"/>
      <c r="CG29" s="27"/>
      <c r="CH29" s="27"/>
      <c r="CI29" s="27"/>
      <c r="CJ29" s="28"/>
      <c r="CK29" s="26">
        <v>1E-4</v>
      </c>
      <c r="CL29" s="27"/>
      <c r="CM29" s="27"/>
      <c r="CN29" s="27"/>
      <c r="CO29" s="27"/>
      <c r="CP29" s="27"/>
      <c r="CQ29" s="27"/>
      <c r="CR29" s="28"/>
      <c r="CS29" s="26" t="s">
        <v>53</v>
      </c>
      <c r="CT29" s="27"/>
      <c r="CU29" s="27"/>
      <c r="CV29" s="27"/>
      <c r="CW29" s="27"/>
      <c r="CX29" s="27"/>
      <c r="CY29" s="27"/>
      <c r="CZ29" s="28"/>
      <c r="DA29" s="29">
        <f t="shared" si="1"/>
        <v>5.77E-5</v>
      </c>
      <c r="DB29" s="30"/>
      <c r="DC29" s="30"/>
      <c r="DD29" s="30"/>
      <c r="DE29" s="30"/>
      <c r="DF29" s="30"/>
      <c r="DG29" s="30"/>
      <c r="DH29" s="30"/>
      <c r="DI29" s="30"/>
      <c r="DJ29" s="30"/>
      <c r="DK29" s="30"/>
      <c r="DL29" s="30"/>
      <c r="DM29" s="30"/>
      <c r="DN29" s="31"/>
    </row>
    <row r="30" spans="1:118" ht="12" customHeight="1" x14ac:dyDescent="0.2">
      <c r="BO30" s="23" t="str">
        <f>E55</f>
        <v>Weighing Drift</v>
      </c>
      <c r="BP30" s="24"/>
      <c r="BQ30" s="24"/>
      <c r="BR30" s="24"/>
      <c r="BS30" s="24"/>
      <c r="BT30" s="24"/>
      <c r="BU30" s="24"/>
      <c r="BV30" s="24"/>
      <c r="BW30" s="24"/>
      <c r="BX30" s="24"/>
      <c r="BY30" s="24"/>
      <c r="BZ30" s="24"/>
      <c r="CA30" s="24"/>
      <c r="CB30" s="25"/>
      <c r="CC30" s="26" t="str">
        <f>AR55</f>
        <v>g</v>
      </c>
      <c r="CD30" s="27"/>
      <c r="CE30" s="27"/>
      <c r="CF30" s="27"/>
      <c r="CG30" s="27"/>
      <c r="CH30" s="27"/>
      <c r="CI30" s="27"/>
      <c r="CJ30" s="28"/>
      <c r="CK30" s="26">
        <v>2.0000000000000001E-4</v>
      </c>
      <c r="CL30" s="27"/>
      <c r="CM30" s="27"/>
      <c r="CN30" s="27"/>
      <c r="CO30" s="27"/>
      <c r="CP30" s="27"/>
      <c r="CQ30" s="27"/>
      <c r="CR30" s="28"/>
      <c r="CS30" s="26" t="s">
        <v>53</v>
      </c>
      <c r="CT30" s="27"/>
      <c r="CU30" s="27"/>
      <c r="CV30" s="27"/>
      <c r="CW30" s="27"/>
      <c r="CX30" s="27"/>
      <c r="CY30" s="27"/>
      <c r="CZ30" s="28"/>
      <c r="DA30" s="29">
        <f t="shared" si="1"/>
        <v>1.155E-4</v>
      </c>
      <c r="DB30" s="30"/>
      <c r="DC30" s="30"/>
      <c r="DD30" s="30"/>
      <c r="DE30" s="30"/>
      <c r="DF30" s="30"/>
      <c r="DG30" s="30"/>
      <c r="DH30" s="30"/>
      <c r="DI30" s="30"/>
      <c r="DJ30" s="30"/>
      <c r="DK30" s="30"/>
      <c r="DL30" s="30"/>
      <c r="DM30" s="30"/>
      <c r="DN30" s="31"/>
    </row>
    <row r="31" spans="1:118" ht="12" customHeight="1" x14ac:dyDescent="0.2">
      <c r="BO31" s="23" t="str">
        <f>E57</f>
        <v>Crucible Stability</v>
      </c>
      <c r="BP31" s="24"/>
      <c r="BQ31" s="24"/>
      <c r="BR31" s="24"/>
      <c r="BS31" s="24"/>
      <c r="BT31" s="24"/>
      <c r="BU31" s="24"/>
      <c r="BV31" s="24"/>
      <c r="BW31" s="24"/>
      <c r="BX31" s="24"/>
      <c r="BY31" s="24"/>
      <c r="BZ31" s="24"/>
      <c r="CA31" s="24"/>
      <c r="CB31" s="25"/>
      <c r="CC31" s="26" t="str">
        <f>AR57</f>
        <v>g</v>
      </c>
      <c r="CD31" s="27"/>
      <c r="CE31" s="27"/>
      <c r="CF31" s="27"/>
      <c r="CG31" s="27"/>
      <c r="CH31" s="27"/>
      <c r="CI31" s="27"/>
      <c r="CJ31" s="28"/>
      <c r="CK31" s="26">
        <v>5.0000000000000001E-4</v>
      </c>
      <c r="CL31" s="27"/>
      <c r="CM31" s="27"/>
      <c r="CN31" s="27"/>
      <c r="CO31" s="27"/>
      <c r="CP31" s="27"/>
      <c r="CQ31" s="27"/>
      <c r="CR31" s="28"/>
      <c r="CS31" s="26" t="s">
        <v>53</v>
      </c>
      <c r="CT31" s="27"/>
      <c r="CU31" s="27"/>
      <c r="CV31" s="27"/>
      <c r="CW31" s="27"/>
      <c r="CX31" s="27"/>
      <c r="CY31" s="27"/>
      <c r="CZ31" s="28"/>
      <c r="DA31" s="29">
        <f t="shared" si="1"/>
        <v>2.8870000000000002E-4</v>
      </c>
      <c r="DB31" s="30"/>
      <c r="DC31" s="30"/>
      <c r="DD31" s="30"/>
      <c r="DE31" s="30"/>
      <c r="DF31" s="30"/>
      <c r="DG31" s="30"/>
      <c r="DH31" s="30"/>
      <c r="DI31" s="30"/>
      <c r="DJ31" s="30"/>
      <c r="DK31" s="30"/>
      <c r="DL31" s="30"/>
      <c r="DM31" s="30"/>
      <c r="DN31" s="31"/>
    </row>
    <row r="32" spans="1:118" ht="12" customHeight="1" x14ac:dyDescent="0.2">
      <c r="BO32" s="23" t="s">
        <v>129</v>
      </c>
      <c r="BP32" s="24"/>
      <c r="BQ32" s="24"/>
      <c r="BR32" s="24"/>
      <c r="BS32" s="24"/>
      <c r="BT32" s="24"/>
      <c r="BU32" s="24"/>
      <c r="BV32" s="24"/>
      <c r="BW32" s="24"/>
      <c r="BX32" s="24"/>
      <c r="BY32" s="24"/>
      <c r="BZ32" s="24"/>
      <c r="CA32" s="24"/>
      <c r="CB32" s="25"/>
      <c r="CC32" s="26" t="s">
        <v>26</v>
      </c>
      <c r="CD32" s="27"/>
      <c r="CE32" s="27"/>
      <c r="CF32" s="27"/>
      <c r="CG32" s="27"/>
      <c r="CH32" s="27"/>
      <c r="CI32" s="27"/>
      <c r="CJ32" s="28"/>
      <c r="CK32" s="26">
        <v>0.1</v>
      </c>
      <c r="CL32" s="27"/>
      <c r="CM32" s="27"/>
      <c r="CN32" s="27"/>
      <c r="CO32" s="27"/>
      <c r="CP32" s="27"/>
      <c r="CQ32" s="27"/>
      <c r="CR32" s="28"/>
      <c r="CS32" s="26" t="s">
        <v>53</v>
      </c>
      <c r="CT32" s="27"/>
      <c r="CU32" s="27"/>
      <c r="CV32" s="27"/>
      <c r="CW32" s="27"/>
      <c r="CX32" s="27"/>
      <c r="CY32" s="27"/>
      <c r="CZ32" s="28"/>
      <c r="DA32" s="29">
        <f t="shared" si="1"/>
        <v>5.7735000000000002E-2</v>
      </c>
      <c r="DB32" s="30"/>
      <c r="DC32" s="30"/>
      <c r="DD32" s="30"/>
      <c r="DE32" s="30"/>
      <c r="DF32" s="30"/>
      <c r="DG32" s="30"/>
      <c r="DH32" s="30"/>
      <c r="DI32" s="30"/>
      <c r="DJ32" s="30"/>
      <c r="DK32" s="30"/>
      <c r="DL32" s="30"/>
      <c r="DM32" s="30"/>
      <c r="DN32" s="31"/>
    </row>
    <row r="33" spans="1:118" ht="12" customHeight="1" x14ac:dyDescent="0.2">
      <c r="BO33" s="23" t="s">
        <v>136</v>
      </c>
      <c r="BP33" s="24"/>
      <c r="BQ33" s="24"/>
      <c r="BR33" s="24"/>
      <c r="BS33" s="24"/>
      <c r="BT33" s="24"/>
      <c r="BU33" s="24"/>
      <c r="BV33" s="24"/>
      <c r="BW33" s="24"/>
      <c r="BX33" s="24"/>
      <c r="BY33" s="24"/>
      <c r="BZ33" s="24"/>
      <c r="CA33" s="24"/>
      <c r="CB33" s="25"/>
      <c r="CC33" s="26" t="s">
        <v>134</v>
      </c>
      <c r="CD33" s="27"/>
      <c r="CE33" s="27"/>
      <c r="CF33" s="27"/>
      <c r="CG33" s="27"/>
      <c r="CH33" s="27"/>
      <c r="CI33" s="27"/>
      <c r="CJ33" s="28"/>
      <c r="CK33" s="26">
        <v>0.5</v>
      </c>
      <c r="CL33" s="27"/>
      <c r="CM33" s="27"/>
      <c r="CN33" s="27"/>
      <c r="CO33" s="27"/>
      <c r="CP33" s="27"/>
      <c r="CQ33" s="27"/>
      <c r="CR33" s="28"/>
      <c r="CS33" s="26" t="s">
        <v>53</v>
      </c>
      <c r="CT33" s="27"/>
      <c r="CU33" s="27"/>
      <c r="CV33" s="27"/>
      <c r="CW33" s="27"/>
      <c r="CX33" s="27"/>
      <c r="CY33" s="27"/>
      <c r="CZ33" s="28"/>
      <c r="DA33" s="29">
        <f t="shared" si="1"/>
        <v>0.28867510000000002</v>
      </c>
      <c r="DB33" s="30"/>
      <c r="DC33" s="30"/>
      <c r="DD33" s="30"/>
      <c r="DE33" s="30"/>
      <c r="DF33" s="30"/>
      <c r="DG33" s="30"/>
      <c r="DH33" s="30"/>
      <c r="DI33" s="30"/>
      <c r="DJ33" s="30"/>
      <c r="DK33" s="30"/>
      <c r="DL33" s="30"/>
      <c r="DM33" s="30"/>
      <c r="DN33" s="31"/>
    </row>
    <row r="34" spans="1:118" ht="12" customHeight="1" x14ac:dyDescent="0.2">
      <c r="BO34" s="23" t="str">
        <f>E59</f>
        <v>Furnace Temperature</v>
      </c>
      <c r="BP34" s="24"/>
      <c r="BQ34" s="24"/>
      <c r="BR34" s="24"/>
      <c r="BS34" s="24"/>
      <c r="BT34" s="24"/>
      <c r="BU34" s="24"/>
      <c r="BV34" s="24"/>
      <c r="BW34" s="24"/>
      <c r="BX34" s="24"/>
      <c r="BY34" s="24"/>
      <c r="BZ34" s="24"/>
      <c r="CA34" s="24"/>
      <c r="CB34" s="25"/>
      <c r="CC34" s="26" t="str">
        <f>AR59</f>
        <v>°C</v>
      </c>
      <c r="CD34" s="27"/>
      <c r="CE34" s="27"/>
      <c r="CF34" s="27"/>
      <c r="CG34" s="27"/>
      <c r="CH34" s="27"/>
      <c r="CI34" s="27"/>
      <c r="CJ34" s="28"/>
      <c r="CK34" s="26">
        <v>0.1</v>
      </c>
      <c r="CL34" s="27"/>
      <c r="CM34" s="27"/>
      <c r="CN34" s="27"/>
      <c r="CO34" s="27"/>
      <c r="CP34" s="27"/>
      <c r="CQ34" s="27"/>
      <c r="CR34" s="28"/>
      <c r="CS34" s="26" t="s">
        <v>53</v>
      </c>
      <c r="CT34" s="27"/>
      <c r="CU34" s="27"/>
      <c r="CV34" s="27"/>
      <c r="CW34" s="27"/>
      <c r="CX34" s="27"/>
      <c r="CY34" s="27"/>
      <c r="CZ34" s="28"/>
      <c r="DA34" s="29">
        <f t="shared" si="1"/>
        <v>5.7735000000000002E-2</v>
      </c>
      <c r="DB34" s="30"/>
      <c r="DC34" s="30"/>
      <c r="DD34" s="30"/>
      <c r="DE34" s="30"/>
      <c r="DF34" s="30"/>
      <c r="DG34" s="30"/>
      <c r="DH34" s="30"/>
      <c r="DI34" s="30"/>
      <c r="DJ34" s="30"/>
      <c r="DK34" s="30"/>
      <c r="DL34" s="30"/>
      <c r="DM34" s="30"/>
      <c r="DN34" s="31"/>
    </row>
    <row r="35" spans="1:118" ht="12" customHeight="1" x14ac:dyDescent="0.2"/>
    <row r="36" spans="1:118" ht="12" customHeight="1" x14ac:dyDescent="0.25">
      <c r="BL36" s="53" t="s">
        <v>52</v>
      </c>
      <c r="BM36" s="53"/>
      <c r="BN36" s="53"/>
      <c r="BO36" s="53" t="s">
        <v>138</v>
      </c>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row>
    <row r="37" spans="1:118" ht="12" customHeight="1" x14ac:dyDescent="0.2">
      <c r="BO37" s="51" t="s">
        <v>51</v>
      </c>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row>
    <row r="38" spans="1:118" ht="12" customHeight="1" x14ac:dyDescent="0.2">
      <c r="BP38" s="7"/>
      <c r="BQ38" s="7"/>
      <c r="BR38" s="7"/>
      <c r="BS38" s="18"/>
      <c r="BT38" s="18"/>
      <c r="BU38" s="18"/>
      <c r="BV38" s="18"/>
      <c r="BW38" s="18"/>
      <c r="BX38" s="18"/>
      <c r="BY38" s="19"/>
      <c r="BZ38" s="19"/>
      <c r="CA38" s="9" t="s">
        <v>137</v>
      </c>
      <c r="CB38" s="32" t="str" cm="1">
        <f t="array" ref="CB38">IFERROR(ROUND(SQRT(SUM(POWER(DA28:DA34,2))),3),"--")</f>
        <v>--</v>
      </c>
      <c r="CC38" s="32"/>
      <c r="CD38" s="32"/>
      <c r="CE38" s="32"/>
      <c r="CF38" s="32"/>
      <c r="CG38" s="32"/>
      <c r="CH38" s="8"/>
      <c r="CI38" s="8"/>
      <c r="CJ38" s="8"/>
      <c r="CK38" s="8"/>
      <c r="CL38" s="8"/>
      <c r="CM38" s="8"/>
      <c r="CN38" s="8"/>
      <c r="CO38" s="7"/>
      <c r="CP38" s="7"/>
      <c r="CQ38" s="7"/>
      <c r="CR38" s="7"/>
      <c r="CS38" s="7"/>
      <c r="CT38" s="7"/>
      <c r="CU38" s="7"/>
      <c r="CV38" s="7"/>
      <c r="CW38" s="7"/>
      <c r="CX38" s="7"/>
      <c r="CY38" s="7"/>
      <c r="CZ38" s="7"/>
    </row>
    <row r="39" spans="1:118" ht="12" customHeight="1" x14ac:dyDescent="0.2"/>
    <row r="40" spans="1:118" ht="12" customHeight="1" x14ac:dyDescent="0.2">
      <c r="BL40" s="53" t="s">
        <v>50</v>
      </c>
      <c r="BM40" s="53"/>
      <c r="BN40" s="53"/>
      <c r="BO40" s="53" t="s">
        <v>139</v>
      </c>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row>
    <row r="41" spans="1:118" ht="12" customHeight="1" x14ac:dyDescent="0.2">
      <c r="BO41" s="51" t="s">
        <v>49</v>
      </c>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row>
    <row r="42" spans="1:118" ht="12" customHeight="1" x14ac:dyDescent="0.25">
      <c r="BT42" s="6" t="s">
        <v>48</v>
      </c>
      <c r="BU42" s="32" t="str">
        <f>IFERROR(CB38*2,"--")</f>
        <v>--</v>
      </c>
      <c r="BV42" s="32"/>
      <c r="BW42" s="32"/>
      <c r="BX42" s="32"/>
      <c r="BY42" s="32"/>
      <c r="BZ42" s="32"/>
    </row>
    <row r="43" spans="1:118" ht="12" customHeight="1" x14ac:dyDescent="0.2">
      <c r="A43" s="4"/>
      <c r="B43" s="4"/>
      <c r="C43" s="52" t="str">
        <f>"5."</f>
        <v>5.</v>
      </c>
      <c r="D43" s="52"/>
      <c r="E43" s="52" t="s">
        <v>46</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4"/>
    </row>
    <row r="44" spans="1:118" ht="12" customHeight="1" x14ac:dyDescent="0.2">
      <c r="E44" s="47" t="s">
        <v>126</v>
      </c>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J44" s="52" t="str">
        <f>"8."</f>
        <v>8.</v>
      </c>
      <c r="BK44" s="52"/>
      <c r="BL44" s="52" t="s">
        <v>47</v>
      </c>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row>
    <row r="45" spans="1:118" ht="12" customHeight="1" x14ac:dyDescent="0.2">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L45" s="49" t="s">
        <v>45</v>
      </c>
      <c r="BM45" s="49"/>
      <c r="BN45" s="49"/>
      <c r="BO45" s="49"/>
      <c r="BP45" s="49"/>
      <c r="BQ45" s="49"/>
      <c r="BR45" s="49"/>
      <c r="BS45" s="49"/>
      <c r="BT45" s="49"/>
      <c r="BU45" s="49"/>
      <c r="BV45" s="49"/>
      <c r="BW45" s="49"/>
      <c r="BX45" s="49"/>
      <c r="BY45" s="49"/>
      <c r="BZ45" s="49"/>
      <c r="CA45" s="49"/>
      <c r="CB45" s="49"/>
      <c r="CC45" s="49"/>
      <c r="CD45" s="49"/>
      <c r="CE45" s="49"/>
      <c r="CF45" s="49"/>
      <c r="CG45" s="49" t="s">
        <v>44</v>
      </c>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row>
    <row r="46" spans="1:118" ht="12" customHeight="1" x14ac:dyDescent="0.2">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L46" s="43" t="s">
        <v>42</v>
      </c>
      <c r="BM46" s="43"/>
      <c r="BN46" s="43"/>
      <c r="BO46" s="43"/>
      <c r="BP46" s="43"/>
      <c r="BQ46" s="43"/>
      <c r="BR46" s="43"/>
      <c r="BS46" s="43"/>
      <c r="BT46" s="43"/>
      <c r="BU46" s="43"/>
      <c r="BV46" s="43"/>
      <c r="BW46" s="43"/>
      <c r="BX46" s="43"/>
      <c r="BY46" s="43"/>
      <c r="BZ46" s="43"/>
      <c r="CA46" s="43"/>
      <c r="CB46" s="43"/>
      <c r="CC46" s="43"/>
      <c r="CD46" s="43"/>
      <c r="CE46" s="43"/>
      <c r="CF46" s="43"/>
      <c r="CG46" s="45" t="s">
        <v>123</v>
      </c>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row>
    <row r="47" spans="1:118" ht="12" customHeight="1" x14ac:dyDescent="0.2">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L47" s="43" t="s">
        <v>41</v>
      </c>
      <c r="BM47" s="43"/>
      <c r="BN47" s="43"/>
      <c r="BO47" s="43"/>
      <c r="BP47" s="43"/>
      <c r="BQ47" s="43"/>
      <c r="BR47" s="43"/>
      <c r="BS47" s="43"/>
      <c r="BT47" s="43"/>
      <c r="BU47" s="43"/>
      <c r="BV47" s="43"/>
      <c r="BW47" s="43"/>
      <c r="BX47" s="43"/>
      <c r="BY47" s="43"/>
      <c r="BZ47" s="43"/>
      <c r="CA47" s="43"/>
      <c r="CB47" s="43"/>
      <c r="CC47" s="43"/>
      <c r="CD47" s="43"/>
      <c r="CE47" s="43"/>
      <c r="CF47" s="43"/>
      <c r="CG47" s="45" t="str">
        <f>" %"</f>
        <v xml:space="preserve"> %</v>
      </c>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row>
    <row r="48" spans="1:118" ht="12" customHeight="1" x14ac:dyDescent="0.2">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L48" s="43" t="s">
        <v>40</v>
      </c>
      <c r="BM48" s="43"/>
      <c r="BN48" s="43"/>
      <c r="BO48" s="43"/>
      <c r="BP48" s="43"/>
      <c r="BQ48" s="43"/>
      <c r="BR48" s="43"/>
      <c r="BS48" s="43"/>
      <c r="BT48" s="43"/>
      <c r="BU48" s="43"/>
      <c r="BV48" s="43"/>
      <c r="BW48" s="43"/>
      <c r="BX48" s="43"/>
      <c r="BY48" s="43"/>
      <c r="BZ48" s="43"/>
      <c r="CA48" s="43"/>
      <c r="CB48" s="43"/>
      <c r="CC48" s="43"/>
      <c r="CD48" s="43"/>
      <c r="CE48" s="43"/>
      <c r="CF48" s="43"/>
      <c r="CG48" s="45" t="str">
        <f>" "&amp;COUNTA(BO14:BO23)</f>
        <v xml:space="preserve"> 10</v>
      </c>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row>
    <row r="49" spans="1:120" ht="12" customHeight="1" x14ac:dyDescent="0.2">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L49" s="43" t="s">
        <v>118</v>
      </c>
      <c r="BM49" s="43"/>
      <c r="BN49" s="43"/>
      <c r="BO49" s="43"/>
      <c r="BP49" s="43"/>
      <c r="BQ49" s="43"/>
      <c r="BR49" s="43"/>
      <c r="BS49" s="43"/>
      <c r="BT49" s="43"/>
      <c r="BU49" s="43"/>
      <c r="BV49" s="43"/>
      <c r="BW49" s="43"/>
      <c r="BX49" s="43"/>
      <c r="BY49" s="43"/>
      <c r="BZ49" s="43"/>
      <c r="CA49" s="43"/>
      <c r="CB49" s="43"/>
      <c r="CC49" s="43"/>
      <c r="CD49" s="43"/>
      <c r="CE49" s="43"/>
      <c r="CF49" s="43"/>
      <c r="CG49" s="45" t="str">
        <f>" "&amp;DB24&amp;CG47</f>
        <v xml:space="preserve"> -- %</v>
      </c>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row>
    <row r="50" spans="1:120" ht="12" customHeight="1" x14ac:dyDescent="0.2">
      <c r="E50" s="48" t="s">
        <v>35</v>
      </c>
      <c r="F50" s="49"/>
      <c r="G50" s="49"/>
      <c r="H50" s="49"/>
      <c r="I50" s="49"/>
      <c r="J50" s="49"/>
      <c r="K50" s="49"/>
      <c r="L50" s="49"/>
      <c r="M50" s="49"/>
      <c r="N50" s="49"/>
      <c r="O50" s="49"/>
      <c r="P50" s="49"/>
      <c r="Q50" s="49"/>
      <c r="R50" s="49"/>
      <c r="S50" s="49" t="s">
        <v>34</v>
      </c>
      <c r="T50" s="49"/>
      <c r="U50" s="49"/>
      <c r="V50" s="49"/>
      <c r="W50" s="49"/>
      <c r="X50" s="49"/>
      <c r="Y50" s="49"/>
      <c r="Z50" s="49"/>
      <c r="AA50" s="49"/>
      <c r="AB50" s="49"/>
      <c r="AC50" s="49"/>
      <c r="AD50" s="49"/>
      <c r="AE50" s="49"/>
      <c r="AF50" s="49"/>
      <c r="AG50" s="49"/>
      <c r="AH50" s="49"/>
      <c r="AI50" s="49"/>
      <c r="AJ50" s="49"/>
      <c r="AK50" s="49" t="s">
        <v>33</v>
      </c>
      <c r="AL50" s="49"/>
      <c r="AM50" s="49"/>
      <c r="AN50" s="49"/>
      <c r="AO50" s="49"/>
      <c r="AP50" s="49"/>
      <c r="AQ50" s="49"/>
      <c r="AR50" s="49" t="s">
        <v>32</v>
      </c>
      <c r="AS50" s="49"/>
      <c r="AT50" s="49"/>
      <c r="AU50" s="49"/>
      <c r="AV50" s="49"/>
      <c r="AW50" s="49"/>
      <c r="AX50" s="49"/>
      <c r="AY50" s="49" t="s">
        <v>31</v>
      </c>
      <c r="AZ50" s="49"/>
      <c r="BA50" s="49"/>
      <c r="BB50" s="49"/>
      <c r="BC50" s="49"/>
      <c r="BD50" s="49"/>
      <c r="BE50" s="49"/>
      <c r="BF50" s="49"/>
      <c r="BG50" s="49"/>
      <c r="BL50" s="43" t="s">
        <v>38</v>
      </c>
      <c r="BM50" s="43"/>
      <c r="BN50" s="43"/>
      <c r="BO50" s="43"/>
      <c r="BP50" s="43"/>
      <c r="BQ50" s="43"/>
      <c r="BR50" s="43"/>
      <c r="BS50" s="43"/>
      <c r="BT50" s="43"/>
      <c r="BU50" s="43"/>
      <c r="BV50" s="43"/>
      <c r="BW50" s="43"/>
      <c r="BX50" s="43"/>
      <c r="BY50" s="43"/>
      <c r="BZ50" s="43"/>
      <c r="CA50" s="43"/>
      <c r="CB50" s="43"/>
      <c r="CC50" s="43"/>
      <c r="CD50" s="43"/>
      <c r="CE50" s="43"/>
      <c r="CF50" s="43"/>
      <c r="CG50" s="45" t="str">
        <f>" "&amp;CB38</f>
        <v xml:space="preserve"> --</v>
      </c>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row>
    <row r="51" spans="1:120" ht="12" customHeight="1" x14ac:dyDescent="0.2">
      <c r="E51" s="40" t="s">
        <v>29</v>
      </c>
      <c r="F51" s="40"/>
      <c r="G51" s="40"/>
      <c r="H51" s="40"/>
      <c r="I51" s="40"/>
      <c r="J51" s="40"/>
      <c r="K51" s="40"/>
      <c r="L51" s="40"/>
      <c r="M51" s="40"/>
      <c r="N51" s="40"/>
      <c r="O51" s="40"/>
      <c r="P51" s="40"/>
      <c r="Q51" s="40"/>
      <c r="R51" s="40"/>
      <c r="S51" s="41" t="s">
        <v>28</v>
      </c>
      <c r="T51" s="41"/>
      <c r="U51" s="41"/>
      <c r="V51" s="41"/>
      <c r="W51" s="41"/>
      <c r="X51" s="41"/>
      <c r="Y51" s="41"/>
      <c r="Z51" s="41"/>
      <c r="AA51" s="41"/>
      <c r="AB51" s="41"/>
      <c r="AC51" s="41"/>
      <c r="AD51" s="41"/>
      <c r="AE51" s="41"/>
      <c r="AF51" s="41"/>
      <c r="AG51" s="41"/>
      <c r="AH51" s="41"/>
      <c r="AI51" s="41"/>
      <c r="AJ51" s="41"/>
      <c r="AK51" s="42" t="s">
        <v>27</v>
      </c>
      <c r="AL51" s="42"/>
      <c r="AM51" s="42"/>
      <c r="AN51" s="42"/>
      <c r="AO51" s="42"/>
      <c r="AP51" s="42"/>
      <c r="AQ51" s="42"/>
      <c r="AR51" s="42" t="s">
        <v>26</v>
      </c>
      <c r="AS51" s="42"/>
      <c r="AT51" s="42"/>
      <c r="AU51" s="42"/>
      <c r="AV51" s="42"/>
      <c r="AW51" s="42"/>
      <c r="AX51" s="42"/>
      <c r="AY51" s="42" t="s">
        <v>25</v>
      </c>
      <c r="AZ51" s="42"/>
      <c r="BA51" s="42"/>
      <c r="BB51" s="42"/>
      <c r="BC51" s="42"/>
      <c r="BD51" s="42"/>
      <c r="BE51" s="42"/>
      <c r="BF51" s="42"/>
      <c r="BG51" s="42"/>
      <c r="BL51" s="43" t="s">
        <v>37</v>
      </c>
      <c r="BM51" s="43"/>
      <c r="BN51" s="43"/>
      <c r="BO51" s="43"/>
      <c r="BP51" s="43"/>
      <c r="BQ51" s="43"/>
      <c r="BR51" s="43"/>
      <c r="BS51" s="43"/>
      <c r="BT51" s="43"/>
      <c r="BU51" s="43"/>
      <c r="BV51" s="43"/>
      <c r="BW51" s="43"/>
      <c r="BX51" s="43"/>
      <c r="BY51" s="43"/>
      <c r="BZ51" s="43"/>
      <c r="CA51" s="43"/>
      <c r="CB51" s="43"/>
      <c r="CC51" s="43"/>
      <c r="CD51" s="43"/>
      <c r="CE51" s="43"/>
      <c r="CF51" s="43"/>
      <c r="CG51" s="45" t="s">
        <v>36</v>
      </c>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row>
    <row r="52" spans="1:120" ht="12" customHeight="1" x14ac:dyDescent="0.2">
      <c r="E52" s="40"/>
      <c r="F52" s="40"/>
      <c r="G52" s="40"/>
      <c r="H52" s="40"/>
      <c r="I52" s="40"/>
      <c r="J52" s="40"/>
      <c r="K52" s="40"/>
      <c r="L52" s="40"/>
      <c r="M52" s="40"/>
      <c r="N52" s="40"/>
      <c r="O52" s="40"/>
      <c r="P52" s="40"/>
      <c r="Q52" s="40"/>
      <c r="R52" s="40"/>
      <c r="S52" s="41"/>
      <c r="T52" s="41"/>
      <c r="U52" s="41"/>
      <c r="V52" s="41"/>
      <c r="W52" s="41"/>
      <c r="X52" s="41"/>
      <c r="Y52" s="41"/>
      <c r="Z52" s="41"/>
      <c r="AA52" s="41"/>
      <c r="AB52" s="41"/>
      <c r="AC52" s="41"/>
      <c r="AD52" s="41"/>
      <c r="AE52" s="41"/>
      <c r="AF52" s="41"/>
      <c r="AG52" s="41"/>
      <c r="AH52" s="41"/>
      <c r="AI52" s="41"/>
      <c r="AJ52" s="41"/>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L52" s="43" t="s">
        <v>30</v>
      </c>
      <c r="BM52" s="43"/>
      <c r="BN52" s="43"/>
      <c r="BO52" s="43"/>
      <c r="BP52" s="43"/>
      <c r="BQ52" s="43"/>
      <c r="BR52" s="43"/>
      <c r="BS52" s="43"/>
      <c r="BT52" s="43"/>
      <c r="BU52" s="43"/>
      <c r="BV52" s="43"/>
      <c r="BW52" s="43"/>
      <c r="BX52" s="43"/>
      <c r="BY52" s="43"/>
      <c r="BZ52" s="43"/>
      <c r="CA52" s="43"/>
      <c r="CB52" s="43"/>
      <c r="CC52" s="43"/>
      <c r="CD52" s="43"/>
      <c r="CE52" s="43"/>
      <c r="CF52" s="43"/>
      <c r="CG52" s="45" t="str">
        <f>" "&amp;BU42</f>
        <v xml:space="preserve"> --</v>
      </c>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row>
    <row r="53" spans="1:120" ht="12" customHeight="1" x14ac:dyDescent="0.2">
      <c r="E53" s="40" t="s">
        <v>20</v>
      </c>
      <c r="F53" s="40"/>
      <c r="G53" s="40"/>
      <c r="H53" s="40"/>
      <c r="I53" s="40"/>
      <c r="J53" s="40"/>
      <c r="K53" s="40"/>
      <c r="L53" s="40"/>
      <c r="M53" s="40"/>
      <c r="N53" s="40"/>
      <c r="O53" s="40"/>
      <c r="P53" s="40"/>
      <c r="Q53" s="40"/>
      <c r="R53" s="40"/>
      <c r="S53" s="41" t="s">
        <v>19</v>
      </c>
      <c r="T53" s="41"/>
      <c r="U53" s="41"/>
      <c r="V53" s="41"/>
      <c r="W53" s="41"/>
      <c r="X53" s="41"/>
      <c r="Y53" s="41"/>
      <c r="Z53" s="41"/>
      <c r="AA53" s="41"/>
      <c r="AB53" s="41"/>
      <c r="AC53" s="41"/>
      <c r="AD53" s="41"/>
      <c r="AE53" s="41"/>
      <c r="AF53" s="41"/>
      <c r="AG53" s="41"/>
      <c r="AH53" s="41"/>
      <c r="AI53" s="41"/>
      <c r="AJ53" s="41"/>
      <c r="AK53" s="42" t="s">
        <v>7</v>
      </c>
      <c r="AL53" s="42"/>
      <c r="AM53" s="42"/>
      <c r="AN53" s="42"/>
      <c r="AO53" s="42"/>
      <c r="AP53" s="42"/>
      <c r="AQ53" s="42"/>
      <c r="AR53" s="42" t="s">
        <v>10</v>
      </c>
      <c r="AS53" s="42"/>
      <c r="AT53" s="42"/>
      <c r="AU53" s="42"/>
      <c r="AV53" s="42"/>
      <c r="AW53" s="42"/>
      <c r="AX53" s="42"/>
      <c r="AY53" s="42" t="s">
        <v>5</v>
      </c>
      <c r="AZ53" s="42"/>
      <c r="BA53" s="42"/>
      <c r="BB53" s="42"/>
      <c r="BC53" s="42"/>
      <c r="BD53" s="42"/>
      <c r="BE53" s="42"/>
      <c r="BF53" s="42"/>
      <c r="BG53" s="42"/>
      <c r="BL53" s="43" t="s">
        <v>24</v>
      </c>
      <c r="BM53" s="43"/>
      <c r="BN53" s="43"/>
      <c r="BO53" s="43"/>
      <c r="BP53" s="43"/>
      <c r="BQ53" s="43"/>
      <c r="BR53" s="43"/>
      <c r="BS53" s="43"/>
      <c r="BT53" s="43"/>
      <c r="BU53" s="43"/>
      <c r="BV53" s="43"/>
      <c r="BW53" s="43"/>
      <c r="BX53" s="43"/>
      <c r="BY53" s="43"/>
      <c r="BZ53" s="43"/>
      <c r="CA53" s="43"/>
      <c r="CB53" s="43"/>
      <c r="CC53" s="43"/>
      <c r="CD53" s="43"/>
      <c r="CE53" s="43"/>
      <c r="CF53" s="43"/>
      <c r="CG53" s="45" t="s">
        <v>23</v>
      </c>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row>
    <row r="54" spans="1:120" ht="12" customHeight="1" x14ac:dyDescent="0.2">
      <c r="E54" s="40"/>
      <c r="F54" s="40"/>
      <c r="G54" s="40"/>
      <c r="H54" s="40"/>
      <c r="I54" s="40"/>
      <c r="J54" s="40"/>
      <c r="K54" s="40"/>
      <c r="L54" s="40"/>
      <c r="M54" s="40"/>
      <c r="N54" s="40"/>
      <c r="O54" s="40"/>
      <c r="P54" s="40"/>
      <c r="Q54" s="40"/>
      <c r="R54" s="40"/>
      <c r="S54" s="41"/>
      <c r="T54" s="41"/>
      <c r="U54" s="41"/>
      <c r="V54" s="41"/>
      <c r="W54" s="41"/>
      <c r="X54" s="41"/>
      <c r="Y54" s="41"/>
      <c r="Z54" s="41"/>
      <c r="AA54" s="41"/>
      <c r="AB54" s="41"/>
      <c r="AC54" s="41"/>
      <c r="AD54" s="41"/>
      <c r="AE54" s="41"/>
      <c r="AF54" s="41"/>
      <c r="AG54" s="41"/>
      <c r="AH54" s="41"/>
      <c r="AI54" s="41"/>
      <c r="AJ54" s="41"/>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L54" s="43" t="s">
        <v>22</v>
      </c>
      <c r="BM54" s="43"/>
      <c r="BN54" s="43"/>
      <c r="BO54" s="43"/>
      <c r="BP54" s="43"/>
      <c r="BQ54" s="43"/>
      <c r="BR54" s="43"/>
      <c r="BS54" s="43"/>
      <c r="BT54" s="43"/>
      <c r="BU54" s="43"/>
      <c r="BV54" s="43"/>
      <c r="BW54" s="43"/>
      <c r="BX54" s="43"/>
      <c r="BY54" s="43"/>
      <c r="BZ54" s="43"/>
      <c r="CA54" s="43"/>
      <c r="CB54" s="43"/>
      <c r="CC54" s="43"/>
      <c r="CD54" s="43"/>
      <c r="CE54" s="43"/>
      <c r="CF54" s="43"/>
      <c r="CG54" s="45" t="s">
        <v>21</v>
      </c>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row>
    <row r="55" spans="1:120" ht="12" customHeight="1" x14ac:dyDescent="0.2">
      <c r="E55" s="40" t="s">
        <v>16</v>
      </c>
      <c r="F55" s="40"/>
      <c r="G55" s="40"/>
      <c r="H55" s="40"/>
      <c r="I55" s="40"/>
      <c r="J55" s="40"/>
      <c r="K55" s="40"/>
      <c r="L55" s="40"/>
      <c r="M55" s="40"/>
      <c r="N55" s="40"/>
      <c r="O55" s="40"/>
      <c r="P55" s="40"/>
      <c r="Q55" s="40"/>
      <c r="R55" s="40"/>
      <c r="S55" s="41" t="s">
        <v>15</v>
      </c>
      <c r="T55" s="41"/>
      <c r="U55" s="41"/>
      <c r="V55" s="41"/>
      <c r="W55" s="41"/>
      <c r="X55" s="41"/>
      <c r="Y55" s="41"/>
      <c r="Z55" s="41"/>
      <c r="AA55" s="41"/>
      <c r="AB55" s="41"/>
      <c r="AC55" s="41"/>
      <c r="AD55" s="41"/>
      <c r="AE55" s="41"/>
      <c r="AF55" s="41"/>
      <c r="AG55" s="41"/>
      <c r="AH55" s="41"/>
      <c r="AI55" s="41"/>
      <c r="AJ55" s="41"/>
      <c r="AK55" s="42" t="s">
        <v>7</v>
      </c>
      <c r="AL55" s="42"/>
      <c r="AM55" s="42"/>
      <c r="AN55" s="42"/>
      <c r="AO55" s="42"/>
      <c r="AP55" s="42"/>
      <c r="AQ55" s="42"/>
      <c r="AR55" s="42" t="s">
        <v>10</v>
      </c>
      <c r="AS55" s="42"/>
      <c r="AT55" s="42"/>
      <c r="AU55" s="42"/>
      <c r="AV55" s="42"/>
      <c r="AW55" s="42"/>
      <c r="AX55" s="42"/>
      <c r="AY55" s="42" t="s">
        <v>5</v>
      </c>
      <c r="AZ55" s="42"/>
      <c r="BA55" s="42"/>
      <c r="BB55" s="42"/>
      <c r="BC55" s="42"/>
      <c r="BD55" s="42"/>
      <c r="BE55" s="42"/>
      <c r="BF55" s="42"/>
      <c r="BG55" s="42"/>
      <c r="BL55" s="43" t="s">
        <v>119</v>
      </c>
      <c r="BM55" s="43"/>
      <c r="BN55" s="43"/>
      <c r="BO55" s="43"/>
      <c r="BP55" s="43"/>
      <c r="BQ55" s="43"/>
      <c r="BR55" s="43"/>
      <c r="BS55" s="43"/>
      <c r="BT55" s="43"/>
      <c r="BU55" s="43"/>
      <c r="BV55" s="43"/>
      <c r="BW55" s="43"/>
      <c r="BX55" s="43"/>
      <c r="BY55" s="43"/>
      <c r="BZ55" s="43"/>
      <c r="CA55" s="43"/>
      <c r="CB55" s="43"/>
      <c r="CC55" s="43"/>
      <c r="CD55" s="43"/>
      <c r="CE55" s="43"/>
      <c r="CF55" s="43"/>
      <c r="CG55" s="45" t="str">
        <f>" "&amp;DB24&amp;" ±"&amp;CG52&amp;" %"</f>
        <v xml:space="preserve"> -- ± -- %</v>
      </c>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row>
    <row r="56" spans="1:120" ht="12" customHeight="1" x14ac:dyDescent="0.2">
      <c r="E56" s="40"/>
      <c r="F56" s="40"/>
      <c r="G56" s="40"/>
      <c r="H56" s="40"/>
      <c r="I56" s="40"/>
      <c r="J56" s="40"/>
      <c r="K56" s="40"/>
      <c r="L56" s="40"/>
      <c r="M56" s="40"/>
      <c r="N56" s="40"/>
      <c r="O56" s="40"/>
      <c r="P56" s="40"/>
      <c r="Q56" s="40"/>
      <c r="R56" s="40"/>
      <c r="S56" s="41"/>
      <c r="T56" s="41"/>
      <c r="U56" s="41"/>
      <c r="V56" s="41"/>
      <c r="W56" s="41"/>
      <c r="X56" s="41"/>
      <c r="Y56" s="41"/>
      <c r="Z56" s="41"/>
      <c r="AA56" s="41"/>
      <c r="AB56" s="41"/>
      <c r="AC56" s="41"/>
      <c r="AD56" s="41"/>
      <c r="AE56" s="41"/>
      <c r="AF56" s="41"/>
      <c r="AG56" s="41"/>
      <c r="AH56" s="41"/>
      <c r="AI56" s="41"/>
      <c r="AJ56" s="41"/>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L56" s="43" t="s">
        <v>17</v>
      </c>
      <c r="BM56" s="43"/>
      <c r="BN56" s="43"/>
      <c r="BO56" s="43"/>
      <c r="BP56" s="43"/>
      <c r="BQ56" s="43"/>
      <c r="BR56" s="43"/>
      <c r="BS56" s="43"/>
      <c r="BT56" s="43"/>
      <c r="BU56" s="43"/>
      <c r="BV56" s="43"/>
      <c r="BW56" s="43"/>
      <c r="BX56" s="43"/>
      <c r="BY56" s="43"/>
      <c r="BZ56" s="43"/>
      <c r="CA56" s="43"/>
      <c r="CB56" s="43"/>
      <c r="CC56" s="43"/>
      <c r="CD56" s="43"/>
      <c r="CE56" s="43"/>
      <c r="CF56" s="43"/>
      <c r="CG56" s="44" t="str">
        <f ca="1">" "&amp;TEXT(TODAY(),"dd mmmm, yyyy")</f>
        <v xml:space="preserve"> 12 March, 2026</v>
      </c>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row>
    <row r="57" spans="1:120" ht="12" customHeight="1" x14ac:dyDescent="0.2">
      <c r="E57" s="40" t="s">
        <v>12</v>
      </c>
      <c r="F57" s="40"/>
      <c r="G57" s="40"/>
      <c r="H57" s="40"/>
      <c r="I57" s="40"/>
      <c r="J57" s="40"/>
      <c r="K57" s="40"/>
      <c r="L57" s="40"/>
      <c r="M57" s="40"/>
      <c r="N57" s="40"/>
      <c r="O57" s="40"/>
      <c r="P57" s="40"/>
      <c r="Q57" s="40"/>
      <c r="R57" s="40"/>
      <c r="S57" s="41" t="s">
        <v>11</v>
      </c>
      <c r="T57" s="41"/>
      <c r="U57" s="41"/>
      <c r="V57" s="41"/>
      <c r="W57" s="41"/>
      <c r="X57" s="41"/>
      <c r="Y57" s="41"/>
      <c r="Z57" s="41"/>
      <c r="AA57" s="41"/>
      <c r="AB57" s="41"/>
      <c r="AC57" s="41"/>
      <c r="AD57" s="41"/>
      <c r="AE57" s="41"/>
      <c r="AF57" s="41"/>
      <c r="AG57" s="41"/>
      <c r="AH57" s="41"/>
      <c r="AI57" s="41"/>
      <c r="AJ57" s="41"/>
      <c r="AK57" s="42" t="s">
        <v>7</v>
      </c>
      <c r="AL57" s="42"/>
      <c r="AM57" s="42"/>
      <c r="AN57" s="42"/>
      <c r="AO57" s="42"/>
      <c r="AP57" s="42"/>
      <c r="AQ57" s="42"/>
      <c r="AR57" s="42" t="s">
        <v>10</v>
      </c>
      <c r="AS57" s="42"/>
      <c r="AT57" s="42"/>
      <c r="AU57" s="42"/>
      <c r="AV57" s="42"/>
      <c r="AW57" s="42"/>
      <c r="AX57" s="42"/>
      <c r="AY57" s="42" t="s">
        <v>5</v>
      </c>
      <c r="AZ57" s="42"/>
      <c r="BA57" s="42"/>
      <c r="BB57" s="42"/>
      <c r="BC57" s="42"/>
      <c r="BD57" s="42"/>
      <c r="BE57" s="42"/>
      <c r="BF57" s="42"/>
      <c r="BG57" s="42"/>
      <c r="BL57" s="43" t="s">
        <v>14</v>
      </c>
      <c r="BM57" s="43"/>
      <c r="BN57" s="43"/>
      <c r="BO57" s="43"/>
      <c r="BP57" s="43"/>
      <c r="BQ57" s="43"/>
      <c r="BR57" s="43"/>
      <c r="BS57" s="43"/>
      <c r="BT57" s="43"/>
      <c r="BU57" s="43"/>
      <c r="BV57" s="43"/>
      <c r="BW57" s="43"/>
      <c r="BX57" s="43"/>
      <c r="BY57" s="43"/>
      <c r="BZ57" s="43"/>
      <c r="CA57" s="43"/>
      <c r="CB57" s="43"/>
      <c r="CC57" s="43"/>
      <c r="CD57" s="43"/>
      <c r="CE57" s="43"/>
      <c r="CF57" s="43"/>
      <c r="CG57" s="45" t="s">
        <v>13</v>
      </c>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row>
    <row r="58" spans="1:120" ht="12" customHeight="1" x14ac:dyDescent="0.2">
      <c r="E58" s="40"/>
      <c r="F58" s="40"/>
      <c r="G58" s="40"/>
      <c r="H58" s="40"/>
      <c r="I58" s="40"/>
      <c r="J58" s="40"/>
      <c r="K58" s="40"/>
      <c r="L58" s="40"/>
      <c r="M58" s="40"/>
      <c r="N58" s="40"/>
      <c r="O58" s="40"/>
      <c r="P58" s="40"/>
      <c r="Q58" s="40"/>
      <c r="R58" s="40"/>
      <c r="S58" s="41"/>
      <c r="T58" s="41"/>
      <c r="U58" s="41"/>
      <c r="V58" s="41"/>
      <c r="W58" s="41"/>
      <c r="X58" s="41"/>
      <c r="Y58" s="41"/>
      <c r="Z58" s="41"/>
      <c r="AA58" s="41"/>
      <c r="AB58" s="41"/>
      <c r="AC58" s="41"/>
      <c r="AD58" s="41"/>
      <c r="AE58" s="41"/>
      <c r="AF58" s="41"/>
      <c r="AG58" s="41"/>
      <c r="AH58" s="41"/>
      <c r="AI58" s="41"/>
      <c r="AJ58" s="41"/>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L58" s="46" t="str">
        <f>"The measurement uncertainty for volatile matter in coal was evaluated according to IS 1350 (Part 1): 2025 and NABL-141 (GUM) guidelines. The combined standard uncertainty was"&amp;CG50&amp;", and the expanded uncertainty (k = 2, 95% confidence) was ±"&amp;CG52&amp;" %."</f>
        <v>The measurement uncertainty for volatile matter in coal was evaluated according to IS 1350 (Part 1): 2025 and NABL-141 (GUM) guidelines. The combined standard uncertainty was --, and the expanded uncertainty (k = 2, 95% confidence) was ± -- %.</v>
      </c>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row>
    <row r="59" spans="1:120" ht="12" customHeight="1" x14ac:dyDescent="0.2">
      <c r="E59" s="40" t="s">
        <v>9</v>
      </c>
      <c r="F59" s="40"/>
      <c r="G59" s="40"/>
      <c r="H59" s="40"/>
      <c r="I59" s="40"/>
      <c r="J59" s="40"/>
      <c r="K59" s="40"/>
      <c r="L59" s="40"/>
      <c r="M59" s="40"/>
      <c r="N59" s="40"/>
      <c r="O59" s="40"/>
      <c r="P59" s="40"/>
      <c r="Q59" s="40"/>
      <c r="R59" s="40"/>
      <c r="S59" s="41" t="s">
        <v>8</v>
      </c>
      <c r="T59" s="41"/>
      <c r="U59" s="41"/>
      <c r="V59" s="41"/>
      <c r="W59" s="41"/>
      <c r="X59" s="41"/>
      <c r="Y59" s="41"/>
      <c r="Z59" s="41"/>
      <c r="AA59" s="41"/>
      <c r="AB59" s="41"/>
      <c r="AC59" s="41"/>
      <c r="AD59" s="41"/>
      <c r="AE59" s="41"/>
      <c r="AF59" s="41"/>
      <c r="AG59" s="41"/>
      <c r="AH59" s="41"/>
      <c r="AI59" s="41"/>
      <c r="AJ59" s="41"/>
      <c r="AK59" s="42" t="s">
        <v>7</v>
      </c>
      <c r="AL59" s="42"/>
      <c r="AM59" s="42"/>
      <c r="AN59" s="42"/>
      <c r="AO59" s="42"/>
      <c r="AP59" s="42"/>
      <c r="AQ59" s="42"/>
      <c r="AR59" s="42" t="s">
        <v>6</v>
      </c>
      <c r="AS59" s="42"/>
      <c r="AT59" s="42"/>
      <c r="AU59" s="42"/>
      <c r="AV59" s="42"/>
      <c r="AW59" s="42"/>
      <c r="AX59" s="42"/>
      <c r="AY59" s="42" t="s">
        <v>5</v>
      </c>
      <c r="AZ59" s="42"/>
      <c r="BA59" s="42"/>
      <c r="BB59" s="42"/>
      <c r="BC59" s="42"/>
      <c r="BD59" s="42"/>
      <c r="BE59" s="42"/>
      <c r="BF59" s="42"/>
      <c r="BG59" s="42"/>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row>
    <row r="60" spans="1:120" ht="12" customHeight="1" x14ac:dyDescent="0.2">
      <c r="E60" s="40"/>
      <c r="F60" s="40"/>
      <c r="G60" s="40"/>
      <c r="H60" s="40"/>
      <c r="I60" s="40"/>
      <c r="J60" s="40"/>
      <c r="K60" s="40"/>
      <c r="L60" s="40"/>
      <c r="M60" s="40"/>
      <c r="N60" s="40"/>
      <c r="O60" s="40"/>
      <c r="P60" s="40"/>
      <c r="Q60" s="40"/>
      <c r="R60" s="40"/>
      <c r="S60" s="41"/>
      <c r="T60" s="41"/>
      <c r="U60" s="41"/>
      <c r="V60" s="41"/>
      <c r="W60" s="41"/>
      <c r="X60" s="41"/>
      <c r="Y60" s="41"/>
      <c r="Z60" s="41"/>
      <c r="AA60" s="41"/>
      <c r="AB60" s="41"/>
      <c r="AC60" s="41"/>
      <c r="AD60" s="41"/>
      <c r="AE60" s="41"/>
      <c r="AF60" s="41"/>
      <c r="AG60" s="41"/>
      <c r="AH60" s="41"/>
      <c r="AI60" s="41"/>
      <c r="AJ60" s="41"/>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row>
    <row r="61" spans="1:120" ht="12" customHeight="1" x14ac:dyDescent="0.2">
      <c r="A61" s="4"/>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4"/>
      <c r="BL61" s="37" t="s">
        <v>4</v>
      </c>
      <c r="BM61" s="37"/>
      <c r="BN61" s="37"/>
      <c r="BO61" s="37"/>
      <c r="BP61" s="37"/>
      <c r="BQ61" s="37"/>
      <c r="BR61" s="37"/>
      <c r="BS61" s="37"/>
      <c r="BT61" s="37"/>
      <c r="BU61" s="36" t="s">
        <v>117</v>
      </c>
      <c r="BV61" s="36"/>
      <c r="BW61" s="36"/>
      <c r="BX61" s="36"/>
      <c r="BY61" s="36"/>
      <c r="BZ61" s="36"/>
      <c r="CA61" s="36"/>
      <c r="CB61" s="36"/>
      <c r="CC61" s="36"/>
      <c r="CD61" s="38" t="str">
        <f>DB24&amp;" ± "&amp;BU42&amp;" %"</f>
        <v>-- ± -- %</v>
      </c>
      <c r="CE61" s="39"/>
      <c r="CF61" s="39"/>
      <c r="CG61" s="39"/>
      <c r="CH61" s="39"/>
      <c r="CI61" s="39"/>
      <c r="CJ61" s="39"/>
      <c r="CK61" s="39"/>
      <c r="CL61" s="39"/>
      <c r="CM61" s="39"/>
      <c r="CN61" s="39"/>
      <c r="CO61" s="39"/>
      <c r="CP61" s="3"/>
      <c r="CQ61" s="3"/>
      <c r="CR61" s="3"/>
      <c r="CS61" s="3"/>
      <c r="CT61" s="3"/>
      <c r="CU61" s="3"/>
      <c r="CV61" s="3"/>
      <c r="CW61" s="3"/>
      <c r="CX61" s="3"/>
      <c r="CY61" s="3"/>
      <c r="CZ61" s="3"/>
      <c r="DA61" s="3"/>
      <c r="DB61" s="3"/>
      <c r="DC61" s="3"/>
      <c r="DD61" s="3"/>
      <c r="DE61" s="3"/>
      <c r="DF61" s="3"/>
      <c r="DG61" s="3"/>
      <c r="DH61" s="3"/>
      <c r="DI61" s="3"/>
      <c r="DJ61" s="3"/>
      <c r="DK61" s="3"/>
      <c r="DL61" s="3"/>
      <c r="DM61" s="3"/>
      <c r="DN61" s="3"/>
    </row>
    <row r="62" spans="1:120" ht="12"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row>
    <row r="63" spans="1:120" ht="12" customHeight="1" x14ac:dyDescent="0.2">
      <c r="B63" s="33" t="s">
        <v>2</v>
      </c>
      <c r="C63" s="34"/>
      <c r="D63" s="34"/>
      <c r="E63" s="34"/>
      <c r="F63" s="34"/>
      <c r="G63" s="34"/>
      <c r="H63" s="34"/>
      <c r="I63" s="34"/>
      <c r="J63" s="34"/>
      <c r="K63" s="34"/>
      <c r="L63" s="34"/>
      <c r="M63" s="34"/>
      <c r="N63" s="34"/>
      <c r="O63" s="34"/>
      <c r="P63" s="34"/>
      <c r="Q63" s="34"/>
      <c r="R63" s="34"/>
      <c r="S63" s="34"/>
      <c r="T63" s="34"/>
      <c r="V63" s="33" t="s">
        <v>1</v>
      </c>
      <c r="W63" s="34"/>
      <c r="X63" s="34"/>
      <c r="Y63" s="34"/>
      <c r="Z63" s="34"/>
      <c r="AA63" s="34"/>
      <c r="AB63" s="34"/>
      <c r="AC63" s="34"/>
      <c r="AD63" s="34"/>
      <c r="AE63" s="34"/>
      <c r="AF63" s="34"/>
      <c r="AG63" s="34"/>
      <c r="AH63" s="34"/>
      <c r="AI63" s="34"/>
      <c r="AJ63" s="34"/>
      <c r="AK63" s="34"/>
      <c r="AL63" s="34"/>
      <c r="AM63" s="34"/>
      <c r="AN63" s="34"/>
      <c r="AP63" s="33" t="s">
        <v>0</v>
      </c>
      <c r="AQ63" s="34"/>
      <c r="AR63" s="34"/>
      <c r="AS63" s="34"/>
      <c r="AT63" s="34"/>
      <c r="AU63" s="34"/>
      <c r="AV63" s="34"/>
      <c r="AW63" s="34"/>
      <c r="AX63" s="34"/>
      <c r="AY63" s="34"/>
      <c r="AZ63" s="34"/>
      <c r="BA63" s="34"/>
      <c r="BB63" s="34"/>
      <c r="BC63" s="34"/>
      <c r="BD63" s="34"/>
      <c r="BE63" s="34"/>
      <c r="BF63" s="34"/>
      <c r="BG63" s="34"/>
      <c r="BH63" s="34"/>
      <c r="BJ63" s="33" t="s">
        <v>2</v>
      </c>
      <c r="BK63" s="34"/>
      <c r="BL63" s="34"/>
      <c r="BM63" s="34"/>
      <c r="BN63" s="34"/>
      <c r="BO63" s="34"/>
      <c r="BP63" s="34"/>
      <c r="BQ63" s="34"/>
      <c r="BR63" s="34"/>
      <c r="BS63" s="34"/>
      <c r="BT63" s="34"/>
      <c r="BU63" s="34"/>
      <c r="BV63" s="34"/>
      <c r="BW63" s="34"/>
      <c r="BX63" s="34"/>
      <c r="BY63" s="34"/>
      <c r="BZ63" s="34"/>
      <c r="CA63" s="34"/>
      <c r="CB63" s="34"/>
      <c r="CD63" s="33" t="s">
        <v>1</v>
      </c>
      <c r="CE63" s="34"/>
      <c r="CF63" s="34"/>
      <c r="CG63" s="34"/>
      <c r="CH63" s="34"/>
      <c r="CI63" s="34"/>
      <c r="CJ63" s="34"/>
      <c r="CK63" s="34"/>
      <c r="CL63" s="34"/>
      <c r="CM63" s="34"/>
      <c r="CN63" s="34"/>
      <c r="CO63" s="34"/>
      <c r="CP63" s="34"/>
      <c r="CQ63" s="34"/>
      <c r="CR63" s="34"/>
      <c r="CS63" s="34"/>
      <c r="CT63" s="34"/>
      <c r="CU63" s="34"/>
      <c r="CV63" s="34"/>
      <c r="CX63" s="33" t="s">
        <v>0</v>
      </c>
      <c r="CY63" s="34"/>
      <c r="CZ63" s="34"/>
      <c r="DA63" s="34"/>
      <c r="DB63" s="34"/>
      <c r="DC63" s="34"/>
      <c r="DD63" s="34"/>
      <c r="DE63" s="34"/>
      <c r="DF63" s="34"/>
      <c r="DG63" s="34"/>
      <c r="DH63" s="34"/>
      <c r="DI63" s="34"/>
      <c r="DJ63" s="34"/>
      <c r="DK63" s="34"/>
      <c r="DL63" s="34"/>
      <c r="DM63" s="34"/>
      <c r="DN63" s="34"/>
      <c r="DO63" s="34"/>
      <c r="DP63" s="34"/>
    </row>
    <row r="64" spans="1:120" ht="12" customHeight="1" x14ac:dyDescent="0.2">
      <c r="B64" s="34"/>
      <c r="C64" s="34"/>
      <c r="D64" s="34"/>
      <c r="E64" s="34"/>
      <c r="F64" s="34"/>
      <c r="G64" s="34"/>
      <c r="H64" s="34"/>
      <c r="I64" s="34"/>
      <c r="J64" s="34"/>
      <c r="K64" s="34"/>
      <c r="L64" s="34"/>
      <c r="M64" s="34"/>
      <c r="N64" s="34"/>
      <c r="O64" s="34"/>
      <c r="P64" s="34"/>
      <c r="Q64" s="34"/>
      <c r="R64" s="34"/>
      <c r="S64" s="34"/>
      <c r="T64" s="34"/>
      <c r="V64" s="34"/>
      <c r="W64" s="34"/>
      <c r="X64" s="34"/>
      <c r="Y64" s="34"/>
      <c r="Z64" s="34"/>
      <c r="AA64" s="34"/>
      <c r="AB64" s="34"/>
      <c r="AC64" s="34"/>
      <c r="AD64" s="34"/>
      <c r="AE64" s="34"/>
      <c r="AF64" s="34"/>
      <c r="AG64" s="34"/>
      <c r="AH64" s="34"/>
      <c r="AI64" s="34"/>
      <c r="AJ64" s="34"/>
      <c r="AK64" s="34"/>
      <c r="AL64" s="34"/>
      <c r="AM64" s="34"/>
      <c r="AN64" s="34"/>
      <c r="AP64" s="34"/>
      <c r="AQ64" s="34"/>
      <c r="AR64" s="34"/>
      <c r="AS64" s="34"/>
      <c r="AT64" s="34"/>
      <c r="AU64" s="34"/>
      <c r="AV64" s="34"/>
      <c r="AW64" s="34"/>
      <c r="AX64" s="34"/>
      <c r="AY64" s="34"/>
      <c r="AZ64" s="34"/>
      <c r="BA64" s="34"/>
      <c r="BB64" s="34"/>
      <c r="BC64" s="34"/>
      <c r="BD64" s="34"/>
      <c r="BE64" s="34"/>
      <c r="BF64" s="34"/>
      <c r="BG64" s="34"/>
      <c r="BH64" s="34"/>
      <c r="BJ64" s="34"/>
      <c r="BK64" s="34"/>
      <c r="BL64" s="34"/>
      <c r="BM64" s="34"/>
      <c r="BN64" s="34"/>
      <c r="BO64" s="34"/>
      <c r="BP64" s="34"/>
      <c r="BQ64" s="34"/>
      <c r="BR64" s="34"/>
      <c r="BS64" s="34"/>
      <c r="BT64" s="34"/>
      <c r="BU64" s="34"/>
      <c r="BV64" s="34"/>
      <c r="BW64" s="34"/>
      <c r="BX64" s="34"/>
      <c r="BY64" s="34"/>
      <c r="BZ64" s="34"/>
      <c r="CA64" s="34"/>
      <c r="CB64" s="34"/>
      <c r="CD64" s="34"/>
      <c r="CE64" s="34"/>
      <c r="CF64" s="34"/>
      <c r="CG64" s="34"/>
      <c r="CH64" s="34"/>
      <c r="CI64" s="34"/>
      <c r="CJ64" s="34"/>
      <c r="CK64" s="34"/>
      <c r="CL64" s="34"/>
      <c r="CM64" s="34"/>
      <c r="CN64" s="34"/>
      <c r="CO64" s="34"/>
      <c r="CP64" s="34"/>
      <c r="CQ64" s="34"/>
      <c r="CR64" s="34"/>
      <c r="CS64" s="34"/>
      <c r="CT64" s="34"/>
      <c r="CU64" s="34"/>
      <c r="CV64" s="34"/>
      <c r="CX64" s="34"/>
      <c r="CY64" s="34"/>
      <c r="CZ64" s="34"/>
      <c r="DA64" s="34"/>
      <c r="DB64" s="34"/>
      <c r="DC64" s="34"/>
      <c r="DD64" s="34"/>
      <c r="DE64" s="34"/>
      <c r="DF64" s="34"/>
      <c r="DG64" s="34"/>
      <c r="DH64" s="34"/>
      <c r="DI64" s="34"/>
      <c r="DJ64" s="34"/>
      <c r="DK64" s="34"/>
      <c r="DL64" s="34"/>
      <c r="DM64" s="34"/>
      <c r="DN64" s="34"/>
      <c r="DO64" s="34"/>
      <c r="DP64" s="34"/>
    </row>
    <row r="65" spans="2:120" ht="12" customHeight="1" x14ac:dyDescent="0.2">
      <c r="B65" s="34"/>
      <c r="C65" s="34"/>
      <c r="D65" s="34"/>
      <c r="E65" s="34"/>
      <c r="F65" s="34"/>
      <c r="G65" s="34"/>
      <c r="H65" s="34"/>
      <c r="I65" s="34"/>
      <c r="J65" s="34"/>
      <c r="K65" s="34"/>
      <c r="L65" s="34"/>
      <c r="M65" s="34"/>
      <c r="N65" s="34"/>
      <c r="O65" s="34"/>
      <c r="P65" s="34"/>
      <c r="Q65" s="34"/>
      <c r="R65" s="34"/>
      <c r="S65" s="34"/>
      <c r="T65" s="34"/>
      <c r="V65" s="34"/>
      <c r="W65" s="34"/>
      <c r="X65" s="34"/>
      <c r="Y65" s="34"/>
      <c r="Z65" s="34"/>
      <c r="AA65" s="34"/>
      <c r="AB65" s="34"/>
      <c r="AC65" s="34"/>
      <c r="AD65" s="34"/>
      <c r="AE65" s="34"/>
      <c r="AF65" s="34"/>
      <c r="AG65" s="34"/>
      <c r="AH65" s="34"/>
      <c r="AI65" s="34"/>
      <c r="AJ65" s="34"/>
      <c r="AK65" s="34"/>
      <c r="AL65" s="34"/>
      <c r="AM65" s="34"/>
      <c r="AN65" s="34"/>
      <c r="AP65" s="34"/>
      <c r="AQ65" s="34"/>
      <c r="AR65" s="34"/>
      <c r="AS65" s="34"/>
      <c r="AT65" s="34"/>
      <c r="AU65" s="34"/>
      <c r="AV65" s="34"/>
      <c r="AW65" s="34"/>
      <c r="AX65" s="34"/>
      <c r="AY65" s="34"/>
      <c r="AZ65" s="34"/>
      <c r="BA65" s="34"/>
      <c r="BB65" s="34"/>
      <c r="BC65" s="34"/>
      <c r="BD65" s="34"/>
      <c r="BE65" s="34"/>
      <c r="BF65" s="34"/>
      <c r="BG65" s="34"/>
      <c r="BH65" s="34"/>
      <c r="BJ65" s="34"/>
      <c r="BK65" s="34"/>
      <c r="BL65" s="34"/>
      <c r="BM65" s="34"/>
      <c r="BN65" s="34"/>
      <c r="BO65" s="34"/>
      <c r="BP65" s="34"/>
      <c r="BQ65" s="34"/>
      <c r="BR65" s="34"/>
      <c r="BS65" s="34"/>
      <c r="BT65" s="34"/>
      <c r="BU65" s="34"/>
      <c r="BV65" s="34"/>
      <c r="BW65" s="34"/>
      <c r="BX65" s="34"/>
      <c r="BY65" s="34"/>
      <c r="BZ65" s="34"/>
      <c r="CA65" s="34"/>
      <c r="CB65" s="34"/>
      <c r="CD65" s="34"/>
      <c r="CE65" s="34"/>
      <c r="CF65" s="34"/>
      <c r="CG65" s="34"/>
      <c r="CH65" s="34"/>
      <c r="CI65" s="34"/>
      <c r="CJ65" s="34"/>
      <c r="CK65" s="34"/>
      <c r="CL65" s="34"/>
      <c r="CM65" s="34"/>
      <c r="CN65" s="34"/>
      <c r="CO65" s="34"/>
      <c r="CP65" s="34"/>
      <c r="CQ65" s="34"/>
      <c r="CR65" s="34"/>
      <c r="CS65" s="34"/>
      <c r="CT65" s="34"/>
      <c r="CU65" s="34"/>
      <c r="CV65" s="34"/>
      <c r="CX65" s="34"/>
      <c r="CY65" s="34"/>
      <c r="CZ65" s="34"/>
      <c r="DA65" s="34"/>
      <c r="DB65" s="34"/>
      <c r="DC65" s="34"/>
      <c r="DD65" s="34"/>
      <c r="DE65" s="34"/>
      <c r="DF65" s="34"/>
      <c r="DG65" s="34"/>
      <c r="DH65" s="34"/>
      <c r="DI65" s="34"/>
      <c r="DJ65" s="34"/>
      <c r="DK65" s="34"/>
      <c r="DL65" s="34"/>
      <c r="DM65" s="34"/>
      <c r="DN65" s="34"/>
      <c r="DO65" s="34"/>
      <c r="DP65" s="34"/>
    </row>
  </sheetData>
  <mergeCells count="220">
    <mergeCell ref="F3:AH3"/>
    <mergeCell ref="BN3:CP3"/>
    <mergeCell ref="C5:D5"/>
    <mergeCell ref="E5:BG5"/>
    <mergeCell ref="BJ5:BK5"/>
    <mergeCell ref="BL5:DN5"/>
    <mergeCell ref="F1:AH1"/>
    <mergeCell ref="BB1:BH1"/>
    <mergeCell ref="BN1:CP1"/>
    <mergeCell ref="DJ1:DP1"/>
    <mergeCell ref="F2:AH2"/>
    <mergeCell ref="BB2:BH2"/>
    <mergeCell ref="BN2:CP2"/>
    <mergeCell ref="DJ2:DP2"/>
    <mergeCell ref="C9:D9"/>
    <mergeCell ref="E9:BG9"/>
    <mergeCell ref="E10:G10"/>
    <mergeCell ref="H10:BG10"/>
    <mergeCell ref="H11:BG11"/>
    <mergeCell ref="BJ11:BK11"/>
    <mergeCell ref="E6:BG7"/>
    <mergeCell ref="BL6:CG6"/>
    <mergeCell ref="BL7:BV8"/>
    <mergeCell ref="BW7:CA7"/>
    <mergeCell ref="CB7:CE8"/>
    <mergeCell ref="CG7:CJ7"/>
    <mergeCell ref="BW8:CA8"/>
    <mergeCell ref="BL11:DN11"/>
    <mergeCell ref="E12:G12"/>
    <mergeCell ref="H12:BG12"/>
    <mergeCell ref="BL12:BN12"/>
    <mergeCell ref="BO12:DN12"/>
    <mergeCell ref="H13:BG13"/>
    <mergeCell ref="BO13:BZ13"/>
    <mergeCell ref="CA13:CI13"/>
    <mergeCell ref="CJ13:CR13"/>
    <mergeCell ref="CS13:DA13"/>
    <mergeCell ref="C14:D15"/>
    <mergeCell ref="E14:BG15"/>
    <mergeCell ref="BO14:BZ14"/>
    <mergeCell ref="CA14:CI14"/>
    <mergeCell ref="CJ14:CR14"/>
    <mergeCell ref="CS14:DA14"/>
    <mergeCell ref="DB14:DN14"/>
    <mergeCell ref="BO15:BZ15"/>
    <mergeCell ref="CA15:CI15"/>
    <mergeCell ref="CJ15:CR15"/>
    <mergeCell ref="CS15:DA15"/>
    <mergeCell ref="DB15:DN15"/>
    <mergeCell ref="BO16:BZ16"/>
    <mergeCell ref="CA16:CI16"/>
    <mergeCell ref="CJ16:CR16"/>
    <mergeCell ref="CS16:DA16"/>
    <mergeCell ref="DB16:DN16"/>
    <mergeCell ref="DB13:DN13"/>
    <mergeCell ref="BO17:BZ17"/>
    <mergeCell ref="CA17:CI17"/>
    <mergeCell ref="CJ17:CR17"/>
    <mergeCell ref="CS17:DA17"/>
    <mergeCell ref="DB17:DN17"/>
    <mergeCell ref="BO18:BZ18"/>
    <mergeCell ref="CA18:CI18"/>
    <mergeCell ref="CJ18:CR18"/>
    <mergeCell ref="CS18:DA18"/>
    <mergeCell ref="DB18:DN18"/>
    <mergeCell ref="BO19:BZ19"/>
    <mergeCell ref="CA19:CI19"/>
    <mergeCell ref="CJ19:CR19"/>
    <mergeCell ref="CS19:DA19"/>
    <mergeCell ref="DB19:DN19"/>
    <mergeCell ref="BO20:BZ20"/>
    <mergeCell ref="CA20:CI20"/>
    <mergeCell ref="CJ20:CR20"/>
    <mergeCell ref="CS20:DA20"/>
    <mergeCell ref="DB20:DN20"/>
    <mergeCell ref="BO23:BZ23"/>
    <mergeCell ref="CA23:CI23"/>
    <mergeCell ref="CJ23:CR23"/>
    <mergeCell ref="CS23:DA23"/>
    <mergeCell ref="DB23:DN23"/>
    <mergeCell ref="BO24:DA24"/>
    <mergeCell ref="DB24:DN24"/>
    <mergeCell ref="BO21:BZ21"/>
    <mergeCell ref="CA21:CI21"/>
    <mergeCell ref="CJ21:CR21"/>
    <mergeCell ref="CS21:DA21"/>
    <mergeCell ref="DB21:DN21"/>
    <mergeCell ref="BO22:BZ22"/>
    <mergeCell ref="CA22:CI22"/>
    <mergeCell ref="CJ22:CR22"/>
    <mergeCell ref="CS22:DA22"/>
    <mergeCell ref="DB22:DN22"/>
    <mergeCell ref="BO25:DA25"/>
    <mergeCell ref="DB25:DN25"/>
    <mergeCell ref="BL26:BN26"/>
    <mergeCell ref="BO26:DN26"/>
    <mergeCell ref="C27:D28"/>
    <mergeCell ref="E27:BG28"/>
    <mergeCell ref="BO27:CB27"/>
    <mergeCell ref="CC27:CJ27"/>
    <mergeCell ref="CK27:CR27"/>
    <mergeCell ref="CS27:CZ27"/>
    <mergeCell ref="BO34:CB34"/>
    <mergeCell ref="CC34:CJ34"/>
    <mergeCell ref="CK34:CR34"/>
    <mergeCell ref="CS34:CZ34"/>
    <mergeCell ref="DA34:DN34"/>
    <mergeCell ref="BO29:CB29"/>
    <mergeCell ref="CC29:CJ29"/>
    <mergeCell ref="CK29:CR29"/>
    <mergeCell ref="CS29:CZ29"/>
    <mergeCell ref="DA29:DN29"/>
    <mergeCell ref="BO30:CB30"/>
    <mergeCell ref="CC30:CJ30"/>
    <mergeCell ref="CK30:CR30"/>
    <mergeCell ref="CS30:CZ30"/>
    <mergeCell ref="DA30:DN30"/>
    <mergeCell ref="BO41:DN41"/>
    <mergeCell ref="BU42:BZ42"/>
    <mergeCell ref="BJ44:BK44"/>
    <mergeCell ref="BL44:DN44"/>
    <mergeCell ref="C43:D43"/>
    <mergeCell ref="E43:BG43"/>
    <mergeCell ref="BL45:CF45"/>
    <mergeCell ref="CG45:DN45"/>
    <mergeCell ref="BL36:BN36"/>
    <mergeCell ref="BO36:DN36"/>
    <mergeCell ref="BO37:DN37"/>
    <mergeCell ref="CB38:CG38"/>
    <mergeCell ref="BL40:BN40"/>
    <mergeCell ref="BO40:DN40"/>
    <mergeCell ref="E44:BG49"/>
    <mergeCell ref="BL46:CF46"/>
    <mergeCell ref="CG46:DN46"/>
    <mergeCell ref="BL47:CF47"/>
    <mergeCell ref="CG47:DN47"/>
    <mergeCell ref="BL48:CF48"/>
    <mergeCell ref="CG48:DN48"/>
    <mergeCell ref="BL49:CF49"/>
    <mergeCell ref="CG49:DN49"/>
    <mergeCell ref="E51:R52"/>
    <mergeCell ref="S51:AJ52"/>
    <mergeCell ref="AK51:AQ52"/>
    <mergeCell ref="AR51:AX52"/>
    <mergeCell ref="AY51:BG52"/>
    <mergeCell ref="BL53:CF53"/>
    <mergeCell ref="CG50:DN50"/>
    <mergeCell ref="BL51:CF51"/>
    <mergeCell ref="CG51:DN51"/>
    <mergeCell ref="E50:R50"/>
    <mergeCell ref="S50:AJ50"/>
    <mergeCell ref="AK50:AQ50"/>
    <mergeCell ref="AR50:AX50"/>
    <mergeCell ref="AY50:BG50"/>
    <mergeCell ref="BL52:CF52"/>
    <mergeCell ref="CG52:DN52"/>
    <mergeCell ref="BL50:CF50"/>
    <mergeCell ref="BL58:DN60"/>
    <mergeCell ref="CG53:DN53"/>
    <mergeCell ref="BL54:CF54"/>
    <mergeCell ref="CG54:DN54"/>
    <mergeCell ref="E53:R54"/>
    <mergeCell ref="S53:AJ54"/>
    <mergeCell ref="AK53:AQ54"/>
    <mergeCell ref="AR53:AX54"/>
    <mergeCell ref="AY53:BG54"/>
    <mergeCell ref="BL55:CF55"/>
    <mergeCell ref="CG55:DN55"/>
    <mergeCell ref="BL56:CF56"/>
    <mergeCell ref="CG56:DN56"/>
    <mergeCell ref="E55:R56"/>
    <mergeCell ref="S55:AJ56"/>
    <mergeCell ref="AK55:AQ56"/>
    <mergeCell ref="AR55:AX56"/>
    <mergeCell ref="AY55:BG56"/>
    <mergeCell ref="BL57:CF57"/>
    <mergeCell ref="CG57:DN57"/>
    <mergeCell ref="E57:R58"/>
    <mergeCell ref="S57:AJ58"/>
    <mergeCell ref="AK57:AQ58"/>
    <mergeCell ref="AR57:AX58"/>
    <mergeCell ref="AY57:BG58"/>
    <mergeCell ref="E59:R60"/>
    <mergeCell ref="S59:AJ60"/>
    <mergeCell ref="AK59:AQ60"/>
    <mergeCell ref="AR59:AX60"/>
    <mergeCell ref="AY59:BG60"/>
    <mergeCell ref="CX63:DP65"/>
    <mergeCell ref="BL61:BT61"/>
    <mergeCell ref="BU61:CC61"/>
    <mergeCell ref="CD61:CO61"/>
    <mergeCell ref="B63:T65"/>
    <mergeCell ref="V63:AN65"/>
    <mergeCell ref="AP63:BH65"/>
    <mergeCell ref="BJ63:CB65"/>
    <mergeCell ref="CD63:CV65"/>
    <mergeCell ref="CK7:DN7"/>
    <mergeCell ref="CK8:DN8"/>
    <mergeCell ref="CK9:DN9"/>
    <mergeCell ref="BO33:CB33"/>
    <mergeCell ref="CC33:CJ33"/>
    <mergeCell ref="CK33:CR33"/>
    <mergeCell ref="CS33:CZ33"/>
    <mergeCell ref="DA33:DN33"/>
    <mergeCell ref="BO32:CB32"/>
    <mergeCell ref="CC32:CJ32"/>
    <mergeCell ref="CK32:CR32"/>
    <mergeCell ref="CS32:CZ32"/>
    <mergeCell ref="DA32:DN32"/>
    <mergeCell ref="BO31:CB31"/>
    <mergeCell ref="CC31:CJ31"/>
    <mergeCell ref="CK31:CR31"/>
    <mergeCell ref="CS31:CZ31"/>
    <mergeCell ref="DA31:DN31"/>
    <mergeCell ref="DA27:DN27"/>
    <mergeCell ref="BO28:CB28"/>
    <mergeCell ref="CC28:CJ28"/>
    <mergeCell ref="CK28:CR28"/>
    <mergeCell ref="CS28:CZ28"/>
    <mergeCell ref="DA28:DN28"/>
  </mergeCells>
  <printOptions horizontalCentered="1"/>
  <pageMargins left="0.86614173228346458" right="0.6692913385826772" top="0.47244094488188981" bottom="0.19685039370078741"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E844-F46B-4E11-8E2F-632A92B32BD8}">
  <dimension ref="A1:DP65"/>
  <sheetViews>
    <sheetView tabSelected="1" zoomScaleNormal="100" workbookViewId="0">
      <selection activeCell="F1" sqref="F1:AH1"/>
    </sheetView>
  </sheetViews>
  <sheetFormatPr defaultRowHeight="12" x14ac:dyDescent="0.2"/>
  <cols>
    <col min="1" max="120" width="1.42578125" style="1" customWidth="1"/>
    <col min="121" max="16384" width="9.140625" style="1"/>
  </cols>
  <sheetData>
    <row r="1" spans="1:120" ht="12" customHeight="1" x14ac:dyDescent="0.2">
      <c r="F1" s="52" t="s">
        <v>102</v>
      </c>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P1" s="16" t="s">
        <v>101</v>
      </c>
      <c r="AQ1" s="15" t="s">
        <v>122</v>
      </c>
      <c r="BB1" s="77" t="s">
        <v>103</v>
      </c>
      <c r="BC1" s="77"/>
      <c r="BD1" s="77"/>
      <c r="BE1" s="77"/>
      <c r="BF1" s="77"/>
      <c r="BG1" s="77"/>
      <c r="BH1" s="77"/>
      <c r="BN1" s="52" t="s">
        <v>102</v>
      </c>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X1" s="16" t="s">
        <v>101</v>
      </c>
      <c r="CY1" s="15" t="str">
        <f>AQ1</f>
        <v>SMJ/FRM/QCD/03/03</v>
      </c>
      <c r="DJ1" s="77" t="s">
        <v>99</v>
      </c>
      <c r="DK1" s="77"/>
      <c r="DL1" s="77"/>
      <c r="DM1" s="77"/>
      <c r="DN1" s="77"/>
      <c r="DO1" s="77"/>
      <c r="DP1" s="77"/>
    </row>
    <row r="2" spans="1:120" ht="12" customHeight="1" x14ac:dyDescent="0.2">
      <c r="F2" s="78" t="s">
        <v>98</v>
      </c>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P2" s="16" t="s">
        <v>97</v>
      </c>
      <c r="AQ2" s="15" t="s">
        <v>96</v>
      </c>
      <c r="BB2" s="77" t="s">
        <v>95</v>
      </c>
      <c r="BC2" s="77"/>
      <c r="BD2" s="77"/>
      <c r="BE2" s="77"/>
      <c r="BF2" s="77"/>
      <c r="BG2" s="77"/>
      <c r="BH2" s="77"/>
      <c r="BN2" s="78" t="s">
        <v>98</v>
      </c>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X2" s="16" t="s">
        <v>97</v>
      </c>
      <c r="CY2" s="15" t="s">
        <v>96</v>
      </c>
      <c r="DJ2" s="77" t="s">
        <v>95</v>
      </c>
      <c r="DK2" s="77"/>
      <c r="DL2" s="77"/>
      <c r="DM2" s="77"/>
      <c r="DN2" s="77"/>
      <c r="DO2" s="77"/>
      <c r="DP2" s="77"/>
    </row>
    <row r="3" spans="1:120" ht="12" customHeight="1" x14ac:dyDescent="0.2">
      <c r="A3" s="2"/>
      <c r="B3" s="2"/>
      <c r="C3" s="2"/>
      <c r="D3" s="2"/>
      <c r="E3" s="2"/>
      <c r="F3" s="76" t="s">
        <v>144</v>
      </c>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76" t="str">
        <f>F3</f>
        <v>UoM for determining Gross Calorific Value of Coal</v>
      </c>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2"/>
      <c r="CR3" s="2"/>
      <c r="CS3" s="2"/>
      <c r="CT3" s="2"/>
      <c r="CU3" s="2"/>
      <c r="CV3" s="2"/>
      <c r="CW3" s="2"/>
      <c r="CX3" s="2"/>
      <c r="CY3" s="2"/>
      <c r="CZ3" s="2"/>
      <c r="DA3" s="2"/>
      <c r="DB3" s="2"/>
      <c r="DC3" s="2"/>
      <c r="DD3" s="2"/>
      <c r="DE3" s="2"/>
      <c r="DF3" s="2"/>
      <c r="DG3" s="2"/>
      <c r="DH3" s="2"/>
      <c r="DI3" s="2"/>
      <c r="DJ3" s="2"/>
      <c r="DK3" s="2"/>
      <c r="DL3" s="2"/>
      <c r="DM3" s="2"/>
      <c r="DN3" s="2"/>
      <c r="DO3" s="2"/>
      <c r="DP3" s="2"/>
    </row>
    <row r="4" spans="1:120" ht="12" customHeight="1" x14ac:dyDescent="0.2"/>
    <row r="5" spans="1:120" ht="12" customHeight="1" x14ac:dyDescent="0.2">
      <c r="A5" s="4"/>
      <c r="B5" s="4"/>
      <c r="C5" s="52" t="str">
        <f>"1."</f>
        <v>1.</v>
      </c>
      <c r="D5" s="52"/>
      <c r="E5" s="52" t="s">
        <v>93</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4"/>
      <c r="BI5" s="4"/>
      <c r="BJ5" s="52" t="str">
        <f>"6."</f>
        <v>6.</v>
      </c>
      <c r="BK5" s="52"/>
      <c r="BL5" s="52" t="s">
        <v>92</v>
      </c>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row>
    <row r="6" spans="1:120" ht="12" customHeight="1" x14ac:dyDescent="0.2">
      <c r="E6" s="47" t="s">
        <v>145</v>
      </c>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L6" s="51" t="s">
        <v>158</v>
      </c>
      <c r="BM6" s="51"/>
      <c r="BN6" s="51"/>
      <c r="BO6" s="51"/>
      <c r="BP6" s="51"/>
      <c r="BQ6" s="51"/>
      <c r="BR6" s="51"/>
      <c r="BS6" s="51"/>
      <c r="BT6" s="51"/>
      <c r="BU6" s="51"/>
      <c r="BV6" s="51"/>
      <c r="BW6" s="51"/>
      <c r="BX6" s="51"/>
      <c r="BY6" s="51"/>
      <c r="BZ6" s="51"/>
      <c r="CA6" s="51"/>
      <c r="CB6" s="51"/>
      <c r="CC6" s="51"/>
      <c r="CD6" s="51"/>
      <c r="CE6" s="51"/>
      <c r="CF6" s="51"/>
      <c r="CG6" s="51"/>
    </row>
    <row r="7" spans="1:120" ht="12" customHeight="1" x14ac:dyDescent="0.25">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K7" s="17"/>
      <c r="BL7" s="35" t="s">
        <v>150</v>
      </c>
      <c r="BM7" s="35"/>
      <c r="BN7" s="35"/>
      <c r="BO7" s="35"/>
      <c r="BP7" s="35"/>
      <c r="BQ7" s="35"/>
      <c r="BR7" s="35"/>
      <c r="BS7" s="35"/>
      <c r="BT7" s="35"/>
      <c r="BU7" s="35"/>
      <c r="BV7" s="35"/>
      <c r="BW7" s="35"/>
      <c r="BX7" s="35"/>
      <c r="BY7" s="35"/>
      <c r="BZ7" s="73" t="s">
        <v>148</v>
      </c>
      <c r="CA7" s="73"/>
      <c r="CB7" s="73"/>
      <c r="CC7" s="73"/>
      <c r="CD7" s="73"/>
      <c r="CE7" s="73"/>
      <c r="CF7" s="73"/>
      <c r="CI7" s="75" t="s">
        <v>87</v>
      </c>
      <c r="CJ7" s="75"/>
      <c r="CK7" s="75"/>
      <c r="CL7" s="75"/>
      <c r="CM7" s="101" t="s">
        <v>151</v>
      </c>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row>
    <row r="8" spans="1:120" ht="12" customHeight="1" x14ac:dyDescent="0.2">
      <c r="BK8" s="17"/>
      <c r="BL8" s="35"/>
      <c r="BM8" s="35"/>
      <c r="BN8" s="35"/>
      <c r="BO8" s="35"/>
      <c r="BP8" s="35"/>
      <c r="BQ8" s="35"/>
      <c r="BR8" s="35"/>
      <c r="BS8" s="35"/>
      <c r="BT8" s="35"/>
      <c r="BU8" s="35"/>
      <c r="BV8" s="35"/>
      <c r="BW8" s="35"/>
      <c r="BX8" s="35"/>
      <c r="BY8" s="35"/>
      <c r="BZ8" s="100" t="s">
        <v>149</v>
      </c>
      <c r="CA8" s="100"/>
      <c r="CB8" s="100"/>
      <c r="CC8" s="100"/>
      <c r="CD8" s="100"/>
      <c r="CE8" s="100"/>
      <c r="CF8" s="100"/>
      <c r="CM8" s="102" t="s">
        <v>152</v>
      </c>
      <c r="CN8" s="101"/>
      <c r="CO8" s="101"/>
      <c r="CP8" s="101"/>
      <c r="CQ8" s="101"/>
      <c r="CR8" s="101"/>
      <c r="CS8" s="101"/>
      <c r="CT8" s="101"/>
      <c r="CU8" s="101"/>
      <c r="CV8" s="101"/>
      <c r="CW8" s="101"/>
      <c r="CX8" s="101"/>
      <c r="CY8" s="101"/>
      <c r="CZ8" s="101"/>
      <c r="DA8" s="101"/>
      <c r="DB8" s="101"/>
      <c r="DC8" s="101"/>
      <c r="DD8" s="101"/>
      <c r="DE8" s="101"/>
      <c r="DF8" s="101"/>
      <c r="DG8" s="101"/>
      <c r="DH8" s="101"/>
      <c r="DI8" s="101"/>
      <c r="DJ8" s="101"/>
      <c r="DK8" s="101"/>
      <c r="DL8" s="101"/>
      <c r="DM8" s="101"/>
      <c r="DN8" s="101"/>
    </row>
    <row r="9" spans="1:120" ht="12" customHeight="1" x14ac:dyDescent="0.2">
      <c r="A9" s="4"/>
      <c r="B9" s="4"/>
      <c r="C9" s="52" t="str">
        <f>"2."</f>
        <v>2.</v>
      </c>
      <c r="D9" s="52"/>
      <c r="E9" s="52" t="s">
        <v>84</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4"/>
      <c r="BK9" s="17"/>
      <c r="BW9" s="3"/>
      <c r="BX9" s="3"/>
      <c r="CF9" s="3"/>
      <c r="CK9" s="3"/>
      <c r="CL9" s="3"/>
      <c r="CM9" s="101" t="s">
        <v>153</v>
      </c>
      <c r="CN9" s="101"/>
      <c r="CO9" s="101"/>
      <c r="CP9" s="101"/>
      <c r="CQ9" s="101"/>
      <c r="CR9" s="101"/>
      <c r="CS9" s="101"/>
      <c r="CT9" s="101"/>
      <c r="CU9" s="101"/>
      <c r="CV9" s="101"/>
      <c r="CW9" s="101"/>
      <c r="CX9" s="101"/>
      <c r="CY9" s="101"/>
      <c r="CZ9" s="101"/>
      <c r="DA9" s="101"/>
      <c r="DB9" s="101"/>
      <c r="DC9" s="101"/>
      <c r="DD9" s="101"/>
      <c r="DE9" s="101"/>
      <c r="DF9" s="101"/>
      <c r="DG9" s="101"/>
      <c r="DH9" s="101"/>
      <c r="DI9" s="101"/>
      <c r="DJ9" s="101"/>
      <c r="DK9" s="101"/>
      <c r="DL9" s="101"/>
      <c r="DM9" s="101"/>
      <c r="DN9" s="101"/>
    </row>
    <row r="10" spans="1:120" ht="12" customHeight="1" x14ac:dyDescent="0.2">
      <c r="E10" s="71" t="str">
        <f>"2.1."</f>
        <v>2.1.</v>
      </c>
      <c r="F10" s="71"/>
      <c r="G10" s="71"/>
      <c r="H10" s="53" t="s">
        <v>146</v>
      </c>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W10" s="13"/>
      <c r="BX10" s="13"/>
      <c r="CF10" s="11"/>
      <c r="CG10" s="11"/>
      <c r="CH10" s="11"/>
      <c r="CI10" s="10"/>
      <c r="CJ10" s="10"/>
      <c r="CK10" s="10"/>
      <c r="CL10" s="10"/>
      <c r="CM10" s="101" t="s">
        <v>154</v>
      </c>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c r="DK10" s="101"/>
      <c r="DL10" s="101"/>
      <c r="DM10" s="101"/>
      <c r="DN10" s="101"/>
    </row>
    <row r="11" spans="1:120" ht="12" customHeight="1" x14ac:dyDescent="0.2">
      <c r="H11" s="70" t="s">
        <v>81</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I11" s="4"/>
      <c r="BJ11" s="52" t="str">
        <f>"7."</f>
        <v>7.</v>
      </c>
      <c r="BK11" s="52"/>
      <c r="BL11" s="52" t="s">
        <v>80</v>
      </c>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row>
    <row r="12" spans="1:120" ht="12" customHeight="1" x14ac:dyDescent="0.25">
      <c r="E12" s="71" t="str">
        <f>"2.2."</f>
        <v>2.2.</v>
      </c>
      <c r="F12" s="71"/>
      <c r="G12" s="71"/>
      <c r="H12" s="53" t="s">
        <v>79</v>
      </c>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L12" s="53" t="s">
        <v>78</v>
      </c>
      <c r="BM12" s="53"/>
      <c r="BN12" s="53"/>
      <c r="BO12" s="76" t="s">
        <v>29</v>
      </c>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106" t="s">
        <v>155</v>
      </c>
      <c r="CR12" s="106"/>
      <c r="CS12" s="106"/>
      <c r="CT12" s="106"/>
      <c r="CU12" s="106"/>
      <c r="CV12" s="106"/>
      <c r="CW12" s="106"/>
      <c r="CX12" s="106"/>
      <c r="CY12" s="106"/>
      <c r="CZ12" s="106"/>
      <c r="DA12" s="106"/>
      <c r="DB12" s="106"/>
      <c r="DC12" s="106"/>
      <c r="DD12" s="106"/>
      <c r="DE12" s="106"/>
      <c r="DF12" s="106"/>
      <c r="DG12" s="106"/>
      <c r="DH12" s="106"/>
      <c r="DI12" s="106"/>
      <c r="DJ12" s="106"/>
      <c r="DK12" s="106"/>
      <c r="DL12" s="106"/>
      <c r="DM12" s="106"/>
      <c r="DN12" s="106"/>
    </row>
    <row r="13" spans="1:120" ht="12" customHeight="1" x14ac:dyDescent="0.2">
      <c r="H13" s="70" t="s">
        <v>77</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O13" s="49" t="s">
        <v>76</v>
      </c>
      <c r="BP13" s="49"/>
      <c r="BQ13" s="49"/>
      <c r="BR13" s="49"/>
      <c r="BS13" s="49"/>
      <c r="BT13" s="49"/>
      <c r="BU13" s="49"/>
      <c r="BV13" s="49"/>
      <c r="BW13" s="49"/>
      <c r="BX13" s="49"/>
      <c r="BY13" s="49"/>
      <c r="BZ13" s="49"/>
      <c r="CA13" s="49" t="s">
        <v>156</v>
      </c>
      <c r="CB13" s="49"/>
      <c r="CC13" s="49"/>
      <c r="CD13" s="49"/>
      <c r="CE13" s="49"/>
      <c r="CF13" s="49"/>
      <c r="CG13" s="49"/>
      <c r="CH13" s="49"/>
      <c r="CI13" s="49"/>
      <c r="CJ13" s="105" t="s">
        <v>157</v>
      </c>
      <c r="CK13" s="49"/>
      <c r="CL13" s="49"/>
      <c r="CM13" s="49"/>
      <c r="CN13" s="49"/>
      <c r="CO13" s="49"/>
      <c r="CP13" s="49"/>
      <c r="CQ13" s="49"/>
      <c r="CR13" s="49"/>
      <c r="CS13" s="49" t="s">
        <v>149</v>
      </c>
      <c r="CT13" s="49"/>
      <c r="CU13" s="49"/>
      <c r="CV13" s="49"/>
      <c r="CW13" s="49"/>
      <c r="CX13" s="49"/>
      <c r="CY13" s="49"/>
      <c r="CZ13" s="49"/>
      <c r="DA13" s="49"/>
      <c r="DB13" s="49" t="s">
        <v>159</v>
      </c>
      <c r="DC13" s="49"/>
      <c r="DD13" s="49"/>
      <c r="DE13" s="49"/>
      <c r="DF13" s="49"/>
      <c r="DG13" s="49"/>
      <c r="DH13" s="49"/>
      <c r="DI13" s="49"/>
      <c r="DJ13" s="49"/>
      <c r="DK13" s="49"/>
      <c r="DL13" s="49"/>
      <c r="DM13" s="49"/>
      <c r="DN13" s="49"/>
    </row>
    <row r="14" spans="1:120" ht="12" customHeight="1" x14ac:dyDescent="0.2">
      <c r="C14" s="60" t="str">
        <f>"3."</f>
        <v>3.</v>
      </c>
      <c r="D14" s="60"/>
      <c r="E14" s="61" t="s">
        <v>71</v>
      </c>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O14" s="68" t="s">
        <v>70</v>
      </c>
      <c r="BP14" s="68"/>
      <c r="BQ14" s="68"/>
      <c r="BR14" s="68"/>
      <c r="BS14" s="68"/>
      <c r="BT14" s="68"/>
      <c r="BU14" s="68"/>
      <c r="BV14" s="68"/>
      <c r="BW14" s="68"/>
      <c r="BX14" s="68"/>
      <c r="BY14" s="68"/>
      <c r="BZ14" s="68"/>
      <c r="CA14" s="104">
        <v>4683.21</v>
      </c>
      <c r="CB14" s="104"/>
      <c r="CC14" s="104"/>
      <c r="CD14" s="104"/>
      <c r="CE14" s="104"/>
      <c r="CF14" s="104"/>
      <c r="CG14" s="104"/>
      <c r="CH14" s="104"/>
      <c r="CI14" s="104"/>
      <c r="CJ14" s="104">
        <v>1.25</v>
      </c>
      <c r="CK14" s="104"/>
      <c r="CL14" s="104"/>
      <c r="CM14" s="104"/>
      <c r="CN14" s="104"/>
      <c r="CO14" s="104"/>
      <c r="CP14" s="104"/>
      <c r="CQ14" s="104"/>
      <c r="CR14" s="104"/>
      <c r="CS14" s="69">
        <v>0.99870000000000003</v>
      </c>
      <c r="CT14" s="69"/>
      <c r="CU14" s="69"/>
      <c r="CV14" s="69"/>
      <c r="CW14" s="69"/>
      <c r="CX14" s="69"/>
      <c r="CY14" s="69"/>
      <c r="CZ14" s="69"/>
      <c r="DA14" s="69"/>
      <c r="DB14" s="104">
        <f>IFERROR(ROUND((CA14*CJ14-22.4)/CS14,2),"--")</f>
        <v>5839.2</v>
      </c>
      <c r="DC14" s="104"/>
      <c r="DD14" s="104"/>
      <c r="DE14" s="104"/>
      <c r="DF14" s="104"/>
      <c r="DG14" s="104"/>
      <c r="DH14" s="104"/>
      <c r="DI14" s="104"/>
      <c r="DJ14" s="104"/>
      <c r="DK14" s="104"/>
      <c r="DL14" s="104"/>
      <c r="DM14" s="104"/>
      <c r="DN14" s="104"/>
    </row>
    <row r="15" spans="1:120" ht="12" customHeight="1" x14ac:dyDescent="0.2">
      <c r="A15" s="4"/>
      <c r="B15" s="4"/>
      <c r="C15" s="60"/>
      <c r="D15" s="60"/>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4"/>
      <c r="BO15" s="68" t="s">
        <v>69</v>
      </c>
      <c r="BP15" s="68"/>
      <c r="BQ15" s="68"/>
      <c r="BR15" s="68"/>
      <c r="BS15" s="68"/>
      <c r="BT15" s="68"/>
      <c r="BU15" s="68"/>
      <c r="BV15" s="68"/>
      <c r="BW15" s="68"/>
      <c r="BX15" s="68"/>
      <c r="BY15" s="68"/>
      <c r="BZ15" s="68"/>
      <c r="CA15" s="104">
        <f>CA14</f>
        <v>4683.21</v>
      </c>
      <c r="CB15" s="104"/>
      <c r="CC15" s="104"/>
      <c r="CD15" s="104"/>
      <c r="CE15" s="104"/>
      <c r="CF15" s="104"/>
      <c r="CG15" s="104"/>
      <c r="CH15" s="104"/>
      <c r="CI15" s="104"/>
      <c r="CJ15" s="104">
        <v>1.1399999999999999</v>
      </c>
      <c r="CK15" s="104"/>
      <c r="CL15" s="104"/>
      <c r="CM15" s="104"/>
      <c r="CN15" s="104"/>
      <c r="CO15" s="104"/>
      <c r="CP15" s="104"/>
      <c r="CQ15" s="104"/>
      <c r="CR15" s="104"/>
      <c r="CS15" s="69">
        <v>0.91620000000000001</v>
      </c>
      <c r="CT15" s="69"/>
      <c r="CU15" s="69"/>
      <c r="CV15" s="69"/>
      <c r="CW15" s="69"/>
      <c r="CX15" s="69"/>
      <c r="CY15" s="69"/>
      <c r="CZ15" s="69"/>
      <c r="DA15" s="69"/>
      <c r="DB15" s="104">
        <f t="shared" ref="DB15:DB23" si="0">IFERROR(ROUND((CA15*CJ15-22.4)/CS15,2),"--")</f>
        <v>5802.73</v>
      </c>
      <c r="DC15" s="104"/>
      <c r="DD15" s="104"/>
      <c r="DE15" s="104"/>
      <c r="DF15" s="104"/>
      <c r="DG15" s="104"/>
      <c r="DH15" s="104"/>
      <c r="DI15" s="104"/>
      <c r="DJ15" s="104"/>
      <c r="DK15" s="104"/>
      <c r="DL15" s="104"/>
      <c r="DM15" s="104"/>
      <c r="DN15" s="104"/>
    </row>
    <row r="16" spans="1:120" ht="12" customHeight="1" x14ac:dyDescent="0.2">
      <c r="BO16" s="68" t="s">
        <v>68</v>
      </c>
      <c r="BP16" s="68"/>
      <c r="BQ16" s="68"/>
      <c r="BR16" s="68"/>
      <c r="BS16" s="68"/>
      <c r="BT16" s="68"/>
      <c r="BU16" s="68"/>
      <c r="BV16" s="68"/>
      <c r="BW16" s="68"/>
      <c r="BX16" s="68"/>
      <c r="BY16" s="68"/>
      <c r="BZ16" s="68"/>
      <c r="CA16" s="104">
        <f t="shared" ref="CA16:CA23" si="1">CA15</f>
        <v>4683.21</v>
      </c>
      <c r="CB16" s="104"/>
      <c r="CC16" s="104"/>
      <c r="CD16" s="104"/>
      <c r="CE16" s="104"/>
      <c r="CF16" s="104"/>
      <c r="CG16" s="104"/>
      <c r="CH16" s="104"/>
      <c r="CI16" s="104"/>
      <c r="CJ16" s="104">
        <v>1.18</v>
      </c>
      <c r="CK16" s="104"/>
      <c r="CL16" s="104"/>
      <c r="CM16" s="104"/>
      <c r="CN16" s="104"/>
      <c r="CO16" s="104"/>
      <c r="CP16" s="104"/>
      <c r="CQ16" s="104"/>
      <c r="CR16" s="104"/>
      <c r="CS16" s="69">
        <v>0.93579999999999997</v>
      </c>
      <c r="CT16" s="69"/>
      <c r="CU16" s="69"/>
      <c r="CV16" s="69"/>
      <c r="CW16" s="69"/>
      <c r="CX16" s="69"/>
      <c r="CY16" s="69"/>
      <c r="CZ16" s="69"/>
      <c r="DA16" s="69"/>
      <c r="DB16" s="104">
        <f t="shared" si="0"/>
        <v>5881.37</v>
      </c>
      <c r="DC16" s="104"/>
      <c r="DD16" s="104"/>
      <c r="DE16" s="104"/>
      <c r="DF16" s="104"/>
      <c r="DG16" s="104"/>
      <c r="DH16" s="104"/>
      <c r="DI16" s="104"/>
      <c r="DJ16" s="104"/>
      <c r="DK16" s="104"/>
      <c r="DL16" s="104"/>
      <c r="DM16" s="104"/>
      <c r="DN16" s="104"/>
    </row>
    <row r="17" spans="1:118" ht="12" customHeight="1" x14ac:dyDescent="0.2">
      <c r="BO17" s="68" t="s">
        <v>67</v>
      </c>
      <c r="BP17" s="68"/>
      <c r="BQ17" s="68"/>
      <c r="BR17" s="68"/>
      <c r="BS17" s="68"/>
      <c r="BT17" s="68"/>
      <c r="BU17" s="68"/>
      <c r="BV17" s="68"/>
      <c r="BW17" s="68"/>
      <c r="BX17" s="68"/>
      <c r="BY17" s="68"/>
      <c r="BZ17" s="68"/>
      <c r="CA17" s="104">
        <f t="shared" si="1"/>
        <v>4683.21</v>
      </c>
      <c r="CB17" s="104"/>
      <c r="CC17" s="104"/>
      <c r="CD17" s="104"/>
      <c r="CE17" s="104"/>
      <c r="CF17" s="104"/>
      <c r="CG17" s="104"/>
      <c r="CH17" s="104"/>
      <c r="CI17" s="104"/>
      <c r="CJ17" s="104"/>
      <c r="CK17" s="104"/>
      <c r="CL17" s="104"/>
      <c r="CM17" s="104"/>
      <c r="CN17" s="104"/>
      <c r="CO17" s="104"/>
      <c r="CP17" s="104"/>
      <c r="CQ17" s="104"/>
      <c r="CR17" s="104"/>
      <c r="CS17" s="69"/>
      <c r="CT17" s="69"/>
      <c r="CU17" s="69"/>
      <c r="CV17" s="69"/>
      <c r="CW17" s="69"/>
      <c r="CX17" s="69"/>
      <c r="CY17" s="69"/>
      <c r="CZ17" s="69"/>
      <c r="DA17" s="69"/>
      <c r="DB17" s="104" t="str">
        <f t="shared" si="0"/>
        <v>--</v>
      </c>
      <c r="DC17" s="104"/>
      <c r="DD17" s="104"/>
      <c r="DE17" s="104"/>
      <c r="DF17" s="104"/>
      <c r="DG17" s="104"/>
      <c r="DH17" s="104"/>
      <c r="DI17" s="104"/>
      <c r="DJ17" s="104"/>
      <c r="DK17" s="104"/>
      <c r="DL17" s="104"/>
      <c r="DM17" s="104"/>
      <c r="DN17" s="104"/>
    </row>
    <row r="18" spans="1:118" ht="12" customHeight="1" x14ac:dyDescent="0.2">
      <c r="BO18" s="68" t="s">
        <v>66</v>
      </c>
      <c r="BP18" s="68"/>
      <c r="BQ18" s="68"/>
      <c r="BR18" s="68"/>
      <c r="BS18" s="68"/>
      <c r="BT18" s="68"/>
      <c r="BU18" s="68"/>
      <c r="BV18" s="68"/>
      <c r="BW18" s="68"/>
      <c r="BX18" s="68"/>
      <c r="BY18" s="68"/>
      <c r="BZ18" s="68"/>
      <c r="CA18" s="104">
        <f t="shared" si="1"/>
        <v>4683.21</v>
      </c>
      <c r="CB18" s="104"/>
      <c r="CC18" s="104"/>
      <c r="CD18" s="104"/>
      <c r="CE18" s="104"/>
      <c r="CF18" s="104"/>
      <c r="CG18" s="104"/>
      <c r="CH18" s="104"/>
      <c r="CI18" s="104"/>
      <c r="CJ18" s="104"/>
      <c r="CK18" s="104"/>
      <c r="CL18" s="104"/>
      <c r="CM18" s="104"/>
      <c r="CN18" s="104"/>
      <c r="CO18" s="104"/>
      <c r="CP18" s="104"/>
      <c r="CQ18" s="104"/>
      <c r="CR18" s="104"/>
      <c r="CS18" s="69"/>
      <c r="CT18" s="69"/>
      <c r="CU18" s="69"/>
      <c r="CV18" s="69"/>
      <c r="CW18" s="69"/>
      <c r="CX18" s="69"/>
      <c r="CY18" s="69"/>
      <c r="CZ18" s="69"/>
      <c r="DA18" s="69"/>
      <c r="DB18" s="104" t="str">
        <f t="shared" si="0"/>
        <v>--</v>
      </c>
      <c r="DC18" s="104"/>
      <c r="DD18" s="104"/>
      <c r="DE18" s="104"/>
      <c r="DF18" s="104"/>
      <c r="DG18" s="104"/>
      <c r="DH18" s="104"/>
      <c r="DI18" s="104"/>
      <c r="DJ18" s="104"/>
      <c r="DK18" s="104"/>
      <c r="DL18" s="104"/>
      <c r="DM18" s="104"/>
      <c r="DN18" s="104"/>
    </row>
    <row r="19" spans="1:118" ht="12" customHeight="1" x14ac:dyDescent="0.2">
      <c r="BO19" s="68" t="s">
        <v>65</v>
      </c>
      <c r="BP19" s="68"/>
      <c r="BQ19" s="68"/>
      <c r="BR19" s="68"/>
      <c r="BS19" s="68"/>
      <c r="BT19" s="68"/>
      <c r="BU19" s="68"/>
      <c r="BV19" s="68"/>
      <c r="BW19" s="68"/>
      <c r="BX19" s="68"/>
      <c r="BY19" s="68"/>
      <c r="BZ19" s="68"/>
      <c r="CA19" s="104">
        <f t="shared" si="1"/>
        <v>4683.21</v>
      </c>
      <c r="CB19" s="104"/>
      <c r="CC19" s="104"/>
      <c r="CD19" s="104"/>
      <c r="CE19" s="104"/>
      <c r="CF19" s="104"/>
      <c r="CG19" s="104"/>
      <c r="CH19" s="104"/>
      <c r="CI19" s="104"/>
      <c r="CJ19" s="104"/>
      <c r="CK19" s="104"/>
      <c r="CL19" s="104"/>
      <c r="CM19" s="104"/>
      <c r="CN19" s="104"/>
      <c r="CO19" s="104"/>
      <c r="CP19" s="104"/>
      <c r="CQ19" s="104"/>
      <c r="CR19" s="104"/>
      <c r="CS19" s="69"/>
      <c r="CT19" s="69"/>
      <c r="CU19" s="69"/>
      <c r="CV19" s="69"/>
      <c r="CW19" s="69"/>
      <c r="CX19" s="69"/>
      <c r="CY19" s="69"/>
      <c r="CZ19" s="69"/>
      <c r="DA19" s="69"/>
      <c r="DB19" s="104" t="str">
        <f t="shared" si="0"/>
        <v>--</v>
      </c>
      <c r="DC19" s="104"/>
      <c r="DD19" s="104"/>
      <c r="DE19" s="104"/>
      <c r="DF19" s="104"/>
      <c r="DG19" s="104"/>
      <c r="DH19" s="104"/>
      <c r="DI19" s="104"/>
      <c r="DJ19" s="104"/>
      <c r="DK19" s="104"/>
      <c r="DL19" s="104"/>
      <c r="DM19" s="104"/>
      <c r="DN19" s="104"/>
    </row>
    <row r="20" spans="1:118" ht="12" customHeight="1" x14ac:dyDescent="0.2">
      <c r="BO20" s="68" t="s">
        <v>64</v>
      </c>
      <c r="BP20" s="68"/>
      <c r="BQ20" s="68"/>
      <c r="BR20" s="68"/>
      <c r="BS20" s="68"/>
      <c r="BT20" s="68"/>
      <c r="BU20" s="68"/>
      <c r="BV20" s="68"/>
      <c r="BW20" s="68"/>
      <c r="BX20" s="68"/>
      <c r="BY20" s="68"/>
      <c r="BZ20" s="68"/>
      <c r="CA20" s="104">
        <f t="shared" si="1"/>
        <v>4683.21</v>
      </c>
      <c r="CB20" s="104"/>
      <c r="CC20" s="104"/>
      <c r="CD20" s="104"/>
      <c r="CE20" s="104"/>
      <c r="CF20" s="104"/>
      <c r="CG20" s="104"/>
      <c r="CH20" s="104"/>
      <c r="CI20" s="104"/>
      <c r="CJ20" s="104"/>
      <c r="CK20" s="104"/>
      <c r="CL20" s="104"/>
      <c r="CM20" s="104"/>
      <c r="CN20" s="104"/>
      <c r="CO20" s="104"/>
      <c r="CP20" s="104"/>
      <c r="CQ20" s="104"/>
      <c r="CR20" s="104"/>
      <c r="CS20" s="69"/>
      <c r="CT20" s="69"/>
      <c r="CU20" s="69"/>
      <c r="CV20" s="69"/>
      <c r="CW20" s="69"/>
      <c r="CX20" s="69"/>
      <c r="CY20" s="69"/>
      <c r="CZ20" s="69"/>
      <c r="DA20" s="69"/>
      <c r="DB20" s="104" t="str">
        <f t="shared" si="0"/>
        <v>--</v>
      </c>
      <c r="DC20" s="104"/>
      <c r="DD20" s="104"/>
      <c r="DE20" s="104"/>
      <c r="DF20" s="104"/>
      <c r="DG20" s="104"/>
      <c r="DH20" s="104"/>
      <c r="DI20" s="104"/>
      <c r="DJ20" s="104"/>
      <c r="DK20" s="104"/>
      <c r="DL20" s="104"/>
      <c r="DM20" s="104"/>
      <c r="DN20" s="104"/>
    </row>
    <row r="21" spans="1:118" ht="12" customHeight="1" x14ac:dyDescent="0.2">
      <c r="BO21" s="68" t="s">
        <v>63</v>
      </c>
      <c r="BP21" s="68"/>
      <c r="BQ21" s="68"/>
      <c r="BR21" s="68"/>
      <c r="BS21" s="68"/>
      <c r="BT21" s="68"/>
      <c r="BU21" s="68"/>
      <c r="BV21" s="68"/>
      <c r="BW21" s="68"/>
      <c r="BX21" s="68"/>
      <c r="BY21" s="68"/>
      <c r="BZ21" s="68"/>
      <c r="CA21" s="104">
        <f t="shared" si="1"/>
        <v>4683.21</v>
      </c>
      <c r="CB21" s="104"/>
      <c r="CC21" s="104"/>
      <c r="CD21" s="104"/>
      <c r="CE21" s="104"/>
      <c r="CF21" s="104"/>
      <c r="CG21" s="104"/>
      <c r="CH21" s="104"/>
      <c r="CI21" s="104"/>
      <c r="CJ21" s="104"/>
      <c r="CK21" s="104"/>
      <c r="CL21" s="104"/>
      <c r="CM21" s="104"/>
      <c r="CN21" s="104"/>
      <c r="CO21" s="104"/>
      <c r="CP21" s="104"/>
      <c r="CQ21" s="104"/>
      <c r="CR21" s="104"/>
      <c r="CS21" s="69"/>
      <c r="CT21" s="69"/>
      <c r="CU21" s="69"/>
      <c r="CV21" s="69"/>
      <c r="CW21" s="69"/>
      <c r="CX21" s="69"/>
      <c r="CY21" s="69"/>
      <c r="CZ21" s="69"/>
      <c r="DA21" s="69"/>
      <c r="DB21" s="104" t="str">
        <f t="shared" si="0"/>
        <v>--</v>
      </c>
      <c r="DC21" s="104"/>
      <c r="DD21" s="104"/>
      <c r="DE21" s="104"/>
      <c r="DF21" s="104"/>
      <c r="DG21" s="104"/>
      <c r="DH21" s="104"/>
      <c r="DI21" s="104"/>
      <c r="DJ21" s="104"/>
      <c r="DK21" s="104"/>
      <c r="DL21" s="104"/>
      <c r="DM21" s="104"/>
      <c r="DN21" s="104"/>
    </row>
    <row r="22" spans="1:118" ht="12" customHeight="1" x14ac:dyDescent="0.2">
      <c r="BO22" s="68" t="s">
        <v>62</v>
      </c>
      <c r="BP22" s="68"/>
      <c r="BQ22" s="68"/>
      <c r="BR22" s="68"/>
      <c r="BS22" s="68"/>
      <c r="BT22" s="68"/>
      <c r="BU22" s="68"/>
      <c r="BV22" s="68"/>
      <c r="BW22" s="68"/>
      <c r="BX22" s="68"/>
      <c r="BY22" s="68"/>
      <c r="BZ22" s="68"/>
      <c r="CA22" s="104">
        <f t="shared" si="1"/>
        <v>4683.21</v>
      </c>
      <c r="CB22" s="104"/>
      <c r="CC22" s="104"/>
      <c r="CD22" s="104"/>
      <c r="CE22" s="104"/>
      <c r="CF22" s="104"/>
      <c r="CG22" s="104"/>
      <c r="CH22" s="104"/>
      <c r="CI22" s="104"/>
      <c r="CJ22" s="104"/>
      <c r="CK22" s="104"/>
      <c r="CL22" s="104"/>
      <c r="CM22" s="104"/>
      <c r="CN22" s="104"/>
      <c r="CO22" s="104"/>
      <c r="CP22" s="104"/>
      <c r="CQ22" s="104"/>
      <c r="CR22" s="104"/>
      <c r="CS22" s="69"/>
      <c r="CT22" s="69"/>
      <c r="CU22" s="69"/>
      <c r="CV22" s="69"/>
      <c r="CW22" s="69"/>
      <c r="CX22" s="69"/>
      <c r="CY22" s="69"/>
      <c r="CZ22" s="69"/>
      <c r="DA22" s="69"/>
      <c r="DB22" s="104" t="str">
        <f t="shared" si="0"/>
        <v>--</v>
      </c>
      <c r="DC22" s="104"/>
      <c r="DD22" s="104"/>
      <c r="DE22" s="104"/>
      <c r="DF22" s="104"/>
      <c r="DG22" s="104"/>
      <c r="DH22" s="104"/>
      <c r="DI22" s="104"/>
      <c r="DJ22" s="104"/>
      <c r="DK22" s="104"/>
      <c r="DL22" s="104"/>
      <c r="DM22" s="104"/>
      <c r="DN22" s="104"/>
    </row>
    <row r="23" spans="1:118" ht="12" customHeight="1" x14ac:dyDescent="0.2">
      <c r="BO23" s="68" t="s">
        <v>61</v>
      </c>
      <c r="BP23" s="68"/>
      <c r="BQ23" s="68"/>
      <c r="BR23" s="68"/>
      <c r="BS23" s="68"/>
      <c r="BT23" s="68"/>
      <c r="BU23" s="68"/>
      <c r="BV23" s="68"/>
      <c r="BW23" s="68"/>
      <c r="BX23" s="68"/>
      <c r="BY23" s="68"/>
      <c r="BZ23" s="68"/>
      <c r="CA23" s="104">
        <f t="shared" si="1"/>
        <v>4683.21</v>
      </c>
      <c r="CB23" s="104"/>
      <c r="CC23" s="104"/>
      <c r="CD23" s="104"/>
      <c r="CE23" s="104"/>
      <c r="CF23" s="104"/>
      <c r="CG23" s="104"/>
      <c r="CH23" s="104"/>
      <c r="CI23" s="104"/>
      <c r="CJ23" s="104"/>
      <c r="CK23" s="104"/>
      <c r="CL23" s="104"/>
      <c r="CM23" s="104"/>
      <c r="CN23" s="104"/>
      <c r="CO23" s="104"/>
      <c r="CP23" s="104"/>
      <c r="CQ23" s="104"/>
      <c r="CR23" s="104"/>
      <c r="CS23" s="69"/>
      <c r="CT23" s="69"/>
      <c r="CU23" s="69"/>
      <c r="CV23" s="69"/>
      <c r="CW23" s="69"/>
      <c r="CX23" s="69"/>
      <c r="CY23" s="69"/>
      <c r="CZ23" s="69"/>
      <c r="DA23" s="69"/>
      <c r="DB23" s="104" t="str">
        <f t="shared" si="0"/>
        <v>--</v>
      </c>
      <c r="DC23" s="104"/>
      <c r="DD23" s="104"/>
      <c r="DE23" s="104"/>
      <c r="DF23" s="104"/>
      <c r="DG23" s="104"/>
      <c r="DH23" s="104"/>
      <c r="DI23" s="104"/>
      <c r="DJ23" s="104"/>
      <c r="DK23" s="104"/>
      <c r="DL23" s="104"/>
      <c r="DM23" s="104"/>
      <c r="DN23" s="104"/>
    </row>
    <row r="24" spans="1:118" ht="12" customHeight="1" x14ac:dyDescent="0.2">
      <c r="BO24" s="62" t="s">
        <v>115</v>
      </c>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3"/>
      <c r="DB24" s="64">
        <f>IFERROR(ROUND(AVERAGE(DB14:DB23),3),"--")</f>
        <v>5841.1</v>
      </c>
      <c r="DC24" s="64"/>
      <c r="DD24" s="64"/>
      <c r="DE24" s="64"/>
      <c r="DF24" s="64"/>
      <c r="DG24" s="64"/>
      <c r="DH24" s="64"/>
      <c r="DI24" s="64"/>
      <c r="DJ24" s="64"/>
      <c r="DK24" s="64"/>
      <c r="DL24" s="64"/>
      <c r="DM24" s="64"/>
      <c r="DN24" s="64"/>
    </row>
    <row r="25" spans="1:118" ht="12" customHeight="1" x14ac:dyDescent="0.2">
      <c r="BO25" s="65" t="s">
        <v>59</v>
      </c>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6"/>
      <c r="DB25" s="67">
        <f>IFERROR(ROUND(STDEV(DB14:DB23),3),"--")</f>
        <v>39.353999999999999</v>
      </c>
      <c r="DC25" s="67"/>
      <c r="DD25" s="67"/>
      <c r="DE25" s="67"/>
      <c r="DF25" s="67"/>
      <c r="DG25" s="67"/>
      <c r="DH25" s="67"/>
      <c r="DI25" s="67"/>
      <c r="DJ25" s="67"/>
      <c r="DK25" s="67"/>
      <c r="DL25" s="67"/>
      <c r="DM25" s="67"/>
      <c r="DN25" s="67"/>
    </row>
    <row r="26" spans="1:118" ht="12" customHeight="1" x14ac:dyDescent="0.2">
      <c r="BL26" s="53" t="s">
        <v>58</v>
      </c>
      <c r="BM26" s="53"/>
      <c r="BN26" s="53"/>
      <c r="BO26" s="53" t="s">
        <v>57</v>
      </c>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row>
    <row r="27" spans="1:118" ht="12" customHeight="1" x14ac:dyDescent="0.25">
      <c r="C27" s="60" t="str">
        <f>"4."</f>
        <v>4.</v>
      </c>
      <c r="D27" s="60"/>
      <c r="E27" s="61" t="s">
        <v>56</v>
      </c>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O27" s="54" t="s">
        <v>35</v>
      </c>
      <c r="BP27" s="55"/>
      <c r="BQ27" s="55"/>
      <c r="BR27" s="55"/>
      <c r="BS27" s="55"/>
      <c r="BT27" s="55"/>
      <c r="BU27" s="55"/>
      <c r="BV27" s="55"/>
      <c r="BW27" s="55"/>
      <c r="BX27" s="55"/>
      <c r="BY27" s="55"/>
      <c r="BZ27" s="55"/>
      <c r="CA27" s="55"/>
      <c r="CB27" s="56"/>
      <c r="CC27" s="54" t="s">
        <v>32</v>
      </c>
      <c r="CD27" s="55"/>
      <c r="CE27" s="55"/>
      <c r="CF27" s="55"/>
      <c r="CG27" s="55"/>
      <c r="CH27" s="55"/>
      <c r="CI27" s="55"/>
      <c r="CJ27" s="56"/>
      <c r="CK27" s="54" t="s">
        <v>44</v>
      </c>
      <c r="CL27" s="55"/>
      <c r="CM27" s="55"/>
      <c r="CN27" s="55"/>
      <c r="CO27" s="55"/>
      <c r="CP27" s="55"/>
      <c r="CQ27" s="55"/>
      <c r="CR27" s="56"/>
      <c r="CS27" s="54" t="s">
        <v>55</v>
      </c>
      <c r="CT27" s="55"/>
      <c r="CU27" s="55"/>
      <c r="CV27" s="55"/>
      <c r="CW27" s="55"/>
      <c r="CX27" s="55"/>
      <c r="CY27" s="55"/>
      <c r="CZ27" s="56"/>
      <c r="DA27" s="54" t="s">
        <v>54</v>
      </c>
      <c r="DB27" s="55"/>
      <c r="DC27" s="55"/>
      <c r="DD27" s="55"/>
      <c r="DE27" s="55"/>
      <c r="DF27" s="55"/>
      <c r="DG27" s="55"/>
      <c r="DH27" s="55"/>
      <c r="DI27" s="55"/>
      <c r="DJ27" s="55"/>
      <c r="DK27" s="55"/>
      <c r="DL27" s="55"/>
      <c r="DM27" s="55"/>
      <c r="DN27" s="56"/>
    </row>
    <row r="28" spans="1:118" ht="12" customHeight="1" x14ac:dyDescent="0.2">
      <c r="A28" s="4"/>
      <c r="B28" s="4"/>
      <c r="C28" s="60"/>
      <c r="D28" s="60"/>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4"/>
      <c r="BO28" s="23" t="s">
        <v>29</v>
      </c>
      <c r="BP28" s="24"/>
      <c r="BQ28" s="24"/>
      <c r="BR28" s="24"/>
      <c r="BS28" s="24"/>
      <c r="BT28" s="24"/>
      <c r="BU28" s="24"/>
      <c r="BV28" s="24"/>
      <c r="BW28" s="24"/>
      <c r="BX28" s="24"/>
      <c r="BY28" s="24"/>
      <c r="BZ28" s="24"/>
      <c r="CA28" s="24"/>
      <c r="CB28" s="25"/>
      <c r="CC28" s="26" t="s">
        <v>164</v>
      </c>
      <c r="CD28" s="27"/>
      <c r="CE28" s="27"/>
      <c r="CF28" s="27"/>
      <c r="CG28" s="27"/>
      <c r="CH28" s="27"/>
      <c r="CI28" s="27"/>
      <c r="CJ28" s="28"/>
      <c r="CK28" s="57">
        <v>22.721039999999999</v>
      </c>
      <c r="CL28" s="58"/>
      <c r="CM28" s="58"/>
      <c r="CN28" s="58"/>
      <c r="CO28" s="58"/>
      <c r="CP28" s="58"/>
      <c r="CQ28" s="58"/>
      <c r="CR28" s="59"/>
      <c r="CS28" s="26">
        <v>1</v>
      </c>
      <c r="CT28" s="27"/>
      <c r="CU28" s="27"/>
      <c r="CV28" s="27"/>
      <c r="CW28" s="27"/>
      <c r="CX28" s="27"/>
      <c r="CY28" s="27"/>
      <c r="CZ28" s="28"/>
      <c r="DA28" s="29">
        <f>IFERROR(ROUND(CK28/IF(CS28=1,1,SQRT(3)),7),"--")</f>
        <v>22.721039999999999</v>
      </c>
      <c r="DB28" s="30"/>
      <c r="DC28" s="30"/>
      <c r="DD28" s="30"/>
      <c r="DE28" s="30"/>
      <c r="DF28" s="30"/>
      <c r="DG28" s="30"/>
      <c r="DH28" s="30"/>
      <c r="DI28" s="30"/>
      <c r="DJ28" s="30"/>
      <c r="DK28" s="30"/>
      <c r="DL28" s="30"/>
      <c r="DM28" s="30"/>
      <c r="DN28" s="31"/>
    </row>
    <row r="29" spans="1:118" ht="12" customHeight="1" x14ac:dyDescent="0.2">
      <c r="BO29" s="23" t="s">
        <v>20</v>
      </c>
      <c r="BP29" s="24"/>
      <c r="BQ29" s="24"/>
      <c r="BR29" s="24"/>
      <c r="BS29" s="24"/>
      <c r="BT29" s="24"/>
      <c r="BU29" s="24"/>
      <c r="BV29" s="24"/>
      <c r="BW29" s="24"/>
      <c r="BX29" s="24"/>
      <c r="BY29" s="24"/>
      <c r="BZ29" s="24"/>
      <c r="CA29" s="24"/>
      <c r="CB29" s="25"/>
      <c r="CC29" s="26" t="s">
        <v>10</v>
      </c>
      <c r="CD29" s="27"/>
      <c r="CE29" s="27"/>
      <c r="CF29" s="27"/>
      <c r="CG29" s="27"/>
      <c r="CH29" s="27"/>
      <c r="CI29" s="27"/>
      <c r="CJ29" s="28"/>
      <c r="CK29" s="26">
        <v>1E-4</v>
      </c>
      <c r="CL29" s="27"/>
      <c r="CM29" s="27"/>
      <c r="CN29" s="27"/>
      <c r="CO29" s="27"/>
      <c r="CP29" s="27"/>
      <c r="CQ29" s="27"/>
      <c r="CR29" s="28"/>
      <c r="CS29" s="26" t="s">
        <v>53</v>
      </c>
      <c r="CT29" s="27"/>
      <c r="CU29" s="27"/>
      <c r="CV29" s="27"/>
      <c r="CW29" s="27"/>
      <c r="CX29" s="27"/>
      <c r="CY29" s="27"/>
      <c r="CZ29" s="28"/>
      <c r="DA29" s="29">
        <f>IFERROR(ROUND(CK29/IF(CS29=1,1,SQRT(3)),7),"--")</f>
        <v>5.77E-5</v>
      </c>
      <c r="DB29" s="30"/>
      <c r="DC29" s="30"/>
      <c r="DD29" s="30"/>
      <c r="DE29" s="30"/>
      <c r="DF29" s="30"/>
      <c r="DG29" s="30"/>
      <c r="DH29" s="30"/>
      <c r="DI29" s="30"/>
      <c r="DJ29" s="30"/>
      <c r="DK29" s="30"/>
      <c r="DL29" s="30"/>
      <c r="DM29" s="30"/>
      <c r="DN29" s="31"/>
    </row>
    <row r="30" spans="1:118" ht="12" customHeight="1" x14ac:dyDescent="0.2">
      <c r="BO30" s="23" t="s">
        <v>16</v>
      </c>
      <c r="BP30" s="24"/>
      <c r="BQ30" s="24"/>
      <c r="BR30" s="24"/>
      <c r="BS30" s="24"/>
      <c r="BT30" s="24"/>
      <c r="BU30" s="24"/>
      <c r="BV30" s="24"/>
      <c r="BW30" s="24"/>
      <c r="BX30" s="24"/>
      <c r="BY30" s="24"/>
      <c r="BZ30" s="24"/>
      <c r="CA30" s="24"/>
      <c r="CB30" s="25"/>
      <c r="CC30" s="26" t="s">
        <v>10</v>
      </c>
      <c r="CD30" s="27"/>
      <c r="CE30" s="27"/>
      <c r="CF30" s="27"/>
      <c r="CG30" s="27"/>
      <c r="CH30" s="27"/>
      <c r="CI30" s="27"/>
      <c r="CJ30" s="28"/>
      <c r="CK30" s="26">
        <v>2.0000000000000001E-4</v>
      </c>
      <c r="CL30" s="27"/>
      <c r="CM30" s="27"/>
      <c r="CN30" s="27"/>
      <c r="CO30" s="27"/>
      <c r="CP30" s="27"/>
      <c r="CQ30" s="27"/>
      <c r="CR30" s="28"/>
      <c r="CS30" s="26" t="s">
        <v>53</v>
      </c>
      <c r="CT30" s="27"/>
      <c r="CU30" s="27"/>
      <c r="CV30" s="27"/>
      <c r="CW30" s="27"/>
      <c r="CX30" s="27"/>
      <c r="CY30" s="27"/>
      <c r="CZ30" s="28"/>
      <c r="DA30" s="29">
        <f t="shared" ref="DA30:DA35" si="2">IFERROR(ROUND(CK30/IF(CS30=1,1,SQRT(3)),7),"--")</f>
        <v>1.155E-4</v>
      </c>
      <c r="DB30" s="30"/>
      <c r="DC30" s="30"/>
      <c r="DD30" s="30"/>
      <c r="DE30" s="30"/>
      <c r="DF30" s="30"/>
      <c r="DG30" s="30"/>
      <c r="DH30" s="30"/>
      <c r="DI30" s="30"/>
      <c r="DJ30" s="30"/>
      <c r="DK30" s="30"/>
      <c r="DL30" s="30"/>
      <c r="DM30" s="30"/>
      <c r="DN30" s="31"/>
    </row>
    <row r="31" spans="1:118" ht="12" customHeight="1" x14ac:dyDescent="0.2">
      <c r="BO31" s="23" t="s">
        <v>167</v>
      </c>
      <c r="BP31" s="24"/>
      <c r="BQ31" s="24"/>
      <c r="BR31" s="24"/>
      <c r="BS31" s="24"/>
      <c r="BT31" s="24"/>
      <c r="BU31" s="24"/>
      <c r="BV31" s="24"/>
      <c r="BW31" s="24"/>
      <c r="BX31" s="24"/>
      <c r="BY31" s="24"/>
      <c r="BZ31" s="24"/>
      <c r="CA31" s="24"/>
      <c r="CB31" s="25"/>
      <c r="CC31" s="26" t="s">
        <v>6</v>
      </c>
      <c r="CD31" s="27"/>
      <c r="CE31" s="27"/>
      <c r="CF31" s="27"/>
      <c r="CG31" s="27"/>
      <c r="CH31" s="27"/>
      <c r="CI31" s="27"/>
      <c r="CJ31" s="28"/>
      <c r="CK31" s="26">
        <v>1E-3</v>
      </c>
      <c r="CL31" s="27"/>
      <c r="CM31" s="27"/>
      <c r="CN31" s="27"/>
      <c r="CO31" s="27"/>
      <c r="CP31" s="27"/>
      <c r="CQ31" s="27"/>
      <c r="CR31" s="28"/>
      <c r="CS31" s="26" t="s">
        <v>53</v>
      </c>
      <c r="CT31" s="27"/>
      <c r="CU31" s="27"/>
      <c r="CV31" s="27"/>
      <c r="CW31" s="27"/>
      <c r="CX31" s="27"/>
      <c r="CY31" s="27"/>
      <c r="CZ31" s="28"/>
      <c r="DA31" s="29">
        <f t="shared" si="2"/>
        <v>5.7740000000000005E-4</v>
      </c>
      <c r="DB31" s="30"/>
      <c r="DC31" s="30"/>
      <c r="DD31" s="30"/>
      <c r="DE31" s="30"/>
      <c r="DF31" s="30"/>
      <c r="DG31" s="30"/>
      <c r="DH31" s="30"/>
      <c r="DI31" s="30"/>
      <c r="DJ31" s="30"/>
      <c r="DK31" s="30"/>
      <c r="DL31" s="30"/>
      <c r="DM31" s="30"/>
      <c r="DN31" s="31"/>
    </row>
    <row r="32" spans="1:118" ht="12" customHeight="1" x14ac:dyDescent="0.2">
      <c r="BO32" s="23" t="s">
        <v>169</v>
      </c>
      <c r="BP32" s="24"/>
      <c r="BQ32" s="24"/>
      <c r="BR32" s="24"/>
      <c r="BS32" s="24"/>
      <c r="BT32" s="24"/>
      <c r="BU32" s="24"/>
      <c r="BV32" s="24"/>
      <c r="BW32" s="24"/>
      <c r="BX32" s="24"/>
      <c r="BY32" s="24"/>
      <c r="BZ32" s="24"/>
      <c r="CA32" s="24"/>
      <c r="CB32" s="25"/>
      <c r="CC32" s="26" t="s">
        <v>171</v>
      </c>
      <c r="CD32" s="27"/>
      <c r="CE32" s="27"/>
      <c r="CF32" s="27"/>
      <c r="CG32" s="27"/>
      <c r="CH32" s="27"/>
      <c r="CI32" s="27"/>
      <c r="CJ32" s="28"/>
      <c r="CK32" s="26">
        <v>5</v>
      </c>
      <c r="CL32" s="27"/>
      <c r="CM32" s="27"/>
      <c r="CN32" s="27"/>
      <c r="CO32" s="27"/>
      <c r="CP32" s="27"/>
      <c r="CQ32" s="27"/>
      <c r="CR32" s="28"/>
      <c r="CS32" s="26">
        <v>2</v>
      </c>
      <c r="CT32" s="27"/>
      <c r="CU32" s="27"/>
      <c r="CV32" s="27"/>
      <c r="CW32" s="27"/>
      <c r="CX32" s="27"/>
      <c r="CY32" s="27"/>
      <c r="CZ32" s="28"/>
      <c r="DA32" s="29">
        <f>IFERROR(ROUND(CK32/2,7),"--")</f>
        <v>2.5</v>
      </c>
      <c r="DB32" s="30"/>
      <c r="DC32" s="30"/>
      <c r="DD32" s="30"/>
      <c r="DE32" s="30"/>
      <c r="DF32" s="30"/>
      <c r="DG32" s="30"/>
      <c r="DH32" s="30"/>
      <c r="DI32" s="30"/>
      <c r="DJ32" s="30"/>
      <c r="DK32" s="30"/>
      <c r="DL32" s="30"/>
      <c r="DM32" s="30"/>
      <c r="DN32" s="31"/>
    </row>
    <row r="33" spans="1:120" ht="12" customHeight="1" x14ac:dyDescent="0.2">
      <c r="BO33" s="23" t="s">
        <v>172</v>
      </c>
      <c r="BP33" s="24"/>
      <c r="BQ33" s="24"/>
      <c r="BR33" s="24"/>
      <c r="BS33" s="24"/>
      <c r="BT33" s="24"/>
      <c r="BU33" s="24"/>
      <c r="BV33" s="24"/>
      <c r="BW33" s="24"/>
      <c r="BX33" s="24"/>
      <c r="BY33" s="24"/>
      <c r="BZ33" s="24"/>
      <c r="CA33" s="24"/>
      <c r="CB33" s="25"/>
      <c r="CC33" s="26" t="s">
        <v>174</v>
      </c>
      <c r="CD33" s="27"/>
      <c r="CE33" s="27"/>
      <c r="CF33" s="27"/>
      <c r="CG33" s="27"/>
      <c r="CH33" s="27"/>
      <c r="CI33" s="27"/>
      <c r="CJ33" s="28"/>
      <c r="CK33" s="26">
        <v>12</v>
      </c>
      <c r="CL33" s="27"/>
      <c r="CM33" s="27"/>
      <c r="CN33" s="27"/>
      <c r="CO33" s="27"/>
      <c r="CP33" s="27"/>
      <c r="CQ33" s="27"/>
      <c r="CR33" s="28"/>
      <c r="CS33" s="26" t="s">
        <v>53</v>
      </c>
      <c r="CT33" s="27"/>
      <c r="CU33" s="27"/>
      <c r="CV33" s="27"/>
      <c r="CW33" s="27"/>
      <c r="CX33" s="27"/>
      <c r="CY33" s="27"/>
      <c r="CZ33" s="28"/>
      <c r="DA33" s="29">
        <f t="shared" si="2"/>
        <v>6.9282031999999996</v>
      </c>
      <c r="DB33" s="30"/>
      <c r="DC33" s="30"/>
      <c r="DD33" s="30"/>
      <c r="DE33" s="30"/>
      <c r="DF33" s="30"/>
      <c r="DG33" s="30"/>
      <c r="DH33" s="30"/>
      <c r="DI33" s="30"/>
      <c r="DJ33" s="30"/>
      <c r="DK33" s="30"/>
      <c r="DL33" s="30"/>
      <c r="DM33" s="30"/>
      <c r="DN33" s="31"/>
    </row>
    <row r="34" spans="1:120" ht="12" customHeight="1" x14ac:dyDescent="0.2">
      <c r="BO34" s="23" t="s">
        <v>175</v>
      </c>
      <c r="BP34" s="24"/>
      <c r="BQ34" s="24"/>
      <c r="BR34" s="24"/>
      <c r="BS34" s="24"/>
      <c r="BT34" s="24"/>
      <c r="BU34" s="24"/>
      <c r="BV34" s="24"/>
      <c r="BW34" s="24"/>
      <c r="BX34" s="24"/>
      <c r="BY34" s="24"/>
      <c r="BZ34" s="24"/>
      <c r="CA34" s="24"/>
      <c r="CB34" s="25"/>
      <c r="CC34" s="26" t="s">
        <v>174</v>
      </c>
      <c r="CD34" s="27"/>
      <c r="CE34" s="27"/>
      <c r="CF34" s="27"/>
      <c r="CG34" s="27"/>
      <c r="CH34" s="27"/>
      <c r="CI34" s="27"/>
      <c r="CJ34" s="28"/>
      <c r="CK34" s="26">
        <v>6</v>
      </c>
      <c r="CL34" s="27"/>
      <c r="CM34" s="27"/>
      <c r="CN34" s="27"/>
      <c r="CO34" s="27"/>
      <c r="CP34" s="27"/>
      <c r="CQ34" s="27"/>
      <c r="CR34" s="28"/>
      <c r="CS34" s="26" t="s">
        <v>53</v>
      </c>
      <c r="CT34" s="27"/>
      <c r="CU34" s="27"/>
      <c r="CV34" s="27"/>
      <c r="CW34" s="27"/>
      <c r="CX34" s="27"/>
      <c r="CY34" s="27"/>
      <c r="CZ34" s="28"/>
      <c r="DA34" s="29">
        <f t="shared" si="2"/>
        <v>3.4641015999999998</v>
      </c>
      <c r="DB34" s="30"/>
      <c r="DC34" s="30"/>
      <c r="DD34" s="30"/>
      <c r="DE34" s="30"/>
      <c r="DF34" s="30"/>
      <c r="DG34" s="30"/>
      <c r="DH34" s="30"/>
      <c r="DI34" s="30"/>
      <c r="DJ34" s="30"/>
      <c r="DK34" s="30"/>
      <c r="DL34" s="30"/>
      <c r="DM34" s="30"/>
      <c r="DN34" s="31"/>
    </row>
    <row r="35" spans="1:120" ht="12" customHeight="1" x14ac:dyDescent="0.2">
      <c r="BI35" s="21"/>
      <c r="BJ35" s="21"/>
      <c r="BK35" s="21"/>
      <c r="BL35" s="21"/>
      <c r="BM35" s="21"/>
      <c r="BN35" s="21"/>
      <c r="BO35" s="23" t="s">
        <v>177</v>
      </c>
      <c r="BP35" s="24"/>
      <c r="BQ35" s="24"/>
      <c r="BR35" s="24"/>
      <c r="BS35" s="24"/>
      <c r="BT35" s="24"/>
      <c r="BU35" s="24"/>
      <c r="BV35" s="24"/>
      <c r="BW35" s="24"/>
      <c r="BX35" s="24"/>
      <c r="BY35" s="24"/>
      <c r="BZ35" s="24"/>
      <c r="CA35" s="24"/>
      <c r="CB35" s="25"/>
      <c r="CC35" s="26" t="s">
        <v>174</v>
      </c>
      <c r="CD35" s="27"/>
      <c r="CE35" s="27"/>
      <c r="CF35" s="27"/>
      <c r="CG35" s="27"/>
      <c r="CH35" s="27"/>
      <c r="CI35" s="27"/>
      <c r="CJ35" s="28"/>
      <c r="CK35" s="26">
        <v>4.4000000000000004</v>
      </c>
      <c r="CL35" s="27"/>
      <c r="CM35" s="27"/>
      <c r="CN35" s="27"/>
      <c r="CO35" s="27"/>
      <c r="CP35" s="27"/>
      <c r="CQ35" s="27"/>
      <c r="CR35" s="28"/>
      <c r="CS35" s="26" t="s">
        <v>53</v>
      </c>
      <c r="CT35" s="27"/>
      <c r="CU35" s="27"/>
      <c r="CV35" s="27"/>
      <c r="CW35" s="27"/>
      <c r="CX35" s="27"/>
      <c r="CY35" s="27"/>
      <c r="CZ35" s="28"/>
      <c r="DA35" s="29">
        <f t="shared" si="2"/>
        <v>2.5403411999999999</v>
      </c>
      <c r="DB35" s="30"/>
      <c r="DC35" s="30"/>
      <c r="DD35" s="30"/>
      <c r="DE35" s="30"/>
      <c r="DF35" s="30"/>
      <c r="DG35" s="30"/>
      <c r="DH35" s="30"/>
      <c r="DI35" s="30"/>
      <c r="DJ35" s="30"/>
      <c r="DK35" s="30"/>
      <c r="DL35" s="30"/>
      <c r="DM35" s="30"/>
      <c r="DN35" s="31"/>
      <c r="DO35" s="21"/>
      <c r="DP35" s="21"/>
    </row>
    <row r="36" spans="1:120" ht="12" customHeight="1" x14ac:dyDescent="0.2">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row>
    <row r="37" spans="1:120" ht="12" customHeight="1" x14ac:dyDescent="0.25">
      <c r="BL37" s="53" t="s">
        <v>52</v>
      </c>
      <c r="BM37" s="53"/>
      <c r="BN37" s="53"/>
      <c r="BO37" s="53" t="s">
        <v>138</v>
      </c>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row>
    <row r="38" spans="1:120" ht="12" customHeight="1" x14ac:dyDescent="0.2">
      <c r="BO38" s="51" t="s">
        <v>51</v>
      </c>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row>
    <row r="39" spans="1:120" ht="12" customHeight="1" x14ac:dyDescent="0.2">
      <c r="BP39" s="7"/>
      <c r="BQ39" s="7"/>
      <c r="BR39" s="7"/>
      <c r="BS39" s="18"/>
      <c r="BT39" s="18"/>
      <c r="BU39" s="18"/>
      <c r="BV39" s="18"/>
      <c r="BW39" s="18"/>
      <c r="BX39" s="18"/>
      <c r="BY39" s="19"/>
      <c r="BZ39" s="19"/>
      <c r="CA39" s="9" t="s">
        <v>137</v>
      </c>
      <c r="CB39" s="103" cm="1">
        <f t="array" ref="CB39">IFERROR(ROUND(SQRT(SUM(POWER(DA28:DA34,2))),2),"--")</f>
        <v>24.13</v>
      </c>
      <c r="CC39" s="103"/>
      <c r="CD39" s="103"/>
      <c r="CE39" s="103"/>
      <c r="CF39" s="103"/>
      <c r="CG39" s="103"/>
      <c r="CH39" s="8"/>
      <c r="CI39" s="8"/>
      <c r="CJ39" s="8"/>
      <c r="CK39" s="8"/>
      <c r="CL39" s="8"/>
      <c r="CM39" s="8"/>
      <c r="CN39" s="8"/>
      <c r="CO39" s="7"/>
      <c r="CP39" s="7"/>
      <c r="CQ39" s="7"/>
      <c r="CR39" s="7"/>
      <c r="CS39" s="7"/>
      <c r="CT39" s="7"/>
      <c r="CU39" s="7"/>
      <c r="CV39" s="7"/>
      <c r="CW39" s="7"/>
      <c r="CX39" s="7"/>
      <c r="CY39" s="7"/>
      <c r="CZ39" s="7"/>
    </row>
    <row r="40" spans="1:120" ht="12" customHeight="1" x14ac:dyDescent="0.2"/>
    <row r="41" spans="1:120" ht="12" customHeight="1" x14ac:dyDescent="0.2">
      <c r="BL41" s="53" t="s">
        <v>50</v>
      </c>
      <c r="BM41" s="53"/>
      <c r="BN41" s="53"/>
      <c r="BO41" s="53" t="s">
        <v>139</v>
      </c>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c r="DK41" s="53"/>
      <c r="DL41" s="53"/>
      <c r="DM41" s="53"/>
      <c r="DN41" s="53"/>
    </row>
    <row r="42" spans="1:120" ht="12" customHeight="1" x14ac:dyDescent="0.2">
      <c r="BO42" s="51" t="s">
        <v>49</v>
      </c>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row>
    <row r="43" spans="1:120" ht="12" customHeight="1" x14ac:dyDescent="0.25">
      <c r="A43" s="4"/>
      <c r="B43" s="4"/>
      <c r="C43" s="52" t="str">
        <f>"5."</f>
        <v>5.</v>
      </c>
      <c r="D43" s="52"/>
      <c r="E43" s="52" t="s">
        <v>46</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4"/>
      <c r="BT43" s="6" t="s">
        <v>48</v>
      </c>
      <c r="BU43" s="103">
        <f>IFERROR(CB39*2,"--")</f>
        <v>48.26</v>
      </c>
      <c r="BV43" s="103"/>
      <c r="BW43" s="103"/>
      <c r="BX43" s="103"/>
      <c r="BY43" s="103"/>
      <c r="BZ43" s="103"/>
    </row>
    <row r="44" spans="1:120" ht="12" customHeight="1" x14ac:dyDescent="0.2">
      <c r="E44" s="47" t="s">
        <v>147</v>
      </c>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row>
    <row r="45" spans="1:120" ht="12" customHeight="1" x14ac:dyDescent="0.2">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J45" s="52" t="str">
        <f>"8."</f>
        <v>8.</v>
      </c>
      <c r="BK45" s="52"/>
      <c r="BL45" s="52" t="s">
        <v>47</v>
      </c>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c r="DI45" s="52"/>
      <c r="DJ45" s="52"/>
      <c r="DK45" s="52"/>
      <c r="DL45" s="52"/>
      <c r="DM45" s="52"/>
      <c r="DN45" s="52"/>
    </row>
    <row r="46" spans="1:120" ht="12" customHeight="1" x14ac:dyDescent="0.2">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L46" s="49" t="s">
        <v>45</v>
      </c>
      <c r="BM46" s="49"/>
      <c r="BN46" s="49"/>
      <c r="BO46" s="49"/>
      <c r="BP46" s="49"/>
      <c r="BQ46" s="49"/>
      <c r="BR46" s="49"/>
      <c r="BS46" s="49"/>
      <c r="BT46" s="49"/>
      <c r="BU46" s="49"/>
      <c r="BV46" s="49"/>
      <c r="BW46" s="49"/>
      <c r="BX46" s="49"/>
      <c r="BY46" s="49"/>
      <c r="BZ46" s="49"/>
      <c r="CA46" s="49"/>
      <c r="CB46" s="49"/>
      <c r="CC46" s="49"/>
      <c r="CD46" s="49"/>
      <c r="CE46" s="49"/>
      <c r="CF46" s="49"/>
      <c r="CG46" s="49" t="s">
        <v>44</v>
      </c>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row>
    <row r="47" spans="1:120" ht="12" customHeight="1" x14ac:dyDescent="0.2">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L47" s="43" t="s">
        <v>42</v>
      </c>
      <c r="BM47" s="43"/>
      <c r="BN47" s="43"/>
      <c r="BO47" s="43"/>
      <c r="BP47" s="43"/>
      <c r="BQ47" s="43"/>
      <c r="BR47" s="43"/>
      <c r="BS47" s="43"/>
      <c r="BT47" s="43"/>
      <c r="BU47" s="43"/>
      <c r="BV47" s="43"/>
      <c r="BW47" s="43"/>
      <c r="BX47" s="43"/>
      <c r="BY47" s="43"/>
      <c r="BZ47" s="43"/>
      <c r="CA47" s="43"/>
      <c r="CB47" s="43"/>
      <c r="CC47" s="43"/>
      <c r="CD47" s="43"/>
      <c r="CE47" s="43"/>
      <c r="CF47" s="43"/>
      <c r="CG47" s="45" t="s">
        <v>123</v>
      </c>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row>
    <row r="48" spans="1:120" ht="12" customHeight="1" x14ac:dyDescent="0.2">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L48" s="43" t="s">
        <v>41</v>
      </c>
      <c r="BM48" s="43"/>
      <c r="BN48" s="43"/>
      <c r="BO48" s="43"/>
      <c r="BP48" s="43"/>
      <c r="BQ48" s="43"/>
      <c r="BR48" s="43"/>
      <c r="BS48" s="43"/>
      <c r="BT48" s="43"/>
      <c r="BU48" s="43"/>
      <c r="BV48" s="43"/>
      <c r="BW48" s="43"/>
      <c r="BX48" s="43"/>
      <c r="BY48" s="43"/>
      <c r="BZ48" s="43"/>
      <c r="CA48" s="43"/>
      <c r="CB48" s="43"/>
      <c r="CC48" s="43"/>
      <c r="CD48" s="43"/>
      <c r="CE48" s="43"/>
      <c r="CF48" s="43"/>
      <c r="CG48" s="45" t="s">
        <v>161</v>
      </c>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row>
    <row r="49" spans="1:120" ht="12" customHeight="1" x14ac:dyDescent="0.2">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L49" s="43" t="s">
        <v>40</v>
      </c>
      <c r="BM49" s="43"/>
      <c r="BN49" s="43"/>
      <c r="BO49" s="43"/>
      <c r="BP49" s="43"/>
      <c r="BQ49" s="43"/>
      <c r="BR49" s="43"/>
      <c r="BS49" s="43"/>
      <c r="BT49" s="43"/>
      <c r="BU49" s="43"/>
      <c r="BV49" s="43"/>
      <c r="BW49" s="43"/>
      <c r="BX49" s="43"/>
      <c r="BY49" s="43"/>
      <c r="BZ49" s="43"/>
      <c r="CA49" s="43"/>
      <c r="CB49" s="43"/>
      <c r="CC49" s="43"/>
      <c r="CD49" s="43"/>
      <c r="CE49" s="43"/>
      <c r="CF49" s="43"/>
      <c r="CG49" s="45" t="str">
        <f>" "&amp;COUNTA(BO14:BO23)</f>
        <v xml:space="preserve"> 10</v>
      </c>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row>
    <row r="50" spans="1:120" ht="12" customHeight="1" x14ac:dyDescent="0.2">
      <c r="E50" s="48" t="s">
        <v>35</v>
      </c>
      <c r="F50" s="49"/>
      <c r="G50" s="49"/>
      <c r="H50" s="49"/>
      <c r="I50" s="49"/>
      <c r="J50" s="49"/>
      <c r="K50" s="49"/>
      <c r="L50" s="49"/>
      <c r="M50" s="49"/>
      <c r="N50" s="49"/>
      <c r="O50" s="49"/>
      <c r="P50" s="49"/>
      <c r="Q50" s="49"/>
      <c r="R50" s="49"/>
      <c r="S50" s="49" t="s">
        <v>34</v>
      </c>
      <c r="T50" s="49"/>
      <c r="U50" s="49"/>
      <c r="V50" s="49"/>
      <c r="W50" s="49"/>
      <c r="X50" s="49"/>
      <c r="Y50" s="49"/>
      <c r="Z50" s="49"/>
      <c r="AA50" s="49"/>
      <c r="AB50" s="49"/>
      <c r="AC50" s="49"/>
      <c r="AD50" s="49"/>
      <c r="AE50" s="49"/>
      <c r="AF50" s="49"/>
      <c r="AG50" s="49"/>
      <c r="AH50" s="49"/>
      <c r="AI50" s="49"/>
      <c r="AJ50" s="49"/>
      <c r="AK50" s="49" t="s">
        <v>33</v>
      </c>
      <c r="AL50" s="49"/>
      <c r="AM50" s="49"/>
      <c r="AN50" s="49"/>
      <c r="AO50" s="49"/>
      <c r="AP50" s="49"/>
      <c r="AQ50" s="49"/>
      <c r="AR50" s="49" t="s">
        <v>32</v>
      </c>
      <c r="AS50" s="49"/>
      <c r="AT50" s="49"/>
      <c r="AU50" s="49"/>
      <c r="AV50" s="49"/>
      <c r="AW50" s="49"/>
      <c r="AX50" s="49"/>
      <c r="AY50" s="49" t="s">
        <v>31</v>
      </c>
      <c r="AZ50" s="49"/>
      <c r="BA50" s="49"/>
      <c r="BB50" s="49"/>
      <c r="BC50" s="49"/>
      <c r="BD50" s="49"/>
      <c r="BE50" s="49"/>
      <c r="BF50" s="49"/>
      <c r="BG50" s="49"/>
      <c r="BL50" s="43" t="s">
        <v>160</v>
      </c>
      <c r="BM50" s="43"/>
      <c r="BN50" s="43"/>
      <c r="BO50" s="43"/>
      <c r="BP50" s="43"/>
      <c r="BQ50" s="43"/>
      <c r="BR50" s="43"/>
      <c r="BS50" s="43"/>
      <c r="BT50" s="43"/>
      <c r="BU50" s="43"/>
      <c r="BV50" s="43"/>
      <c r="BW50" s="43"/>
      <c r="BX50" s="43"/>
      <c r="BY50" s="43"/>
      <c r="BZ50" s="43"/>
      <c r="CA50" s="43"/>
      <c r="CB50" s="43"/>
      <c r="CC50" s="43"/>
      <c r="CD50" s="43"/>
      <c r="CE50" s="43"/>
      <c r="CF50" s="43"/>
      <c r="CG50" s="45" t="str">
        <f>" "&amp;DB24&amp;CG48</f>
        <v xml:space="preserve"> 5841.1cal/g</v>
      </c>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row>
    <row r="51" spans="1:120" ht="12" customHeight="1" x14ac:dyDescent="0.2">
      <c r="E51" s="94" t="s">
        <v>29</v>
      </c>
      <c r="F51" s="95"/>
      <c r="G51" s="95"/>
      <c r="H51" s="95"/>
      <c r="I51" s="95"/>
      <c r="J51" s="95"/>
      <c r="K51" s="95"/>
      <c r="L51" s="95"/>
      <c r="M51" s="95"/>
      <c r="N51" s="95"/>
      <c r="O51" s="95"/>
      <c r="P51" s="95"/>
      <c r="Q51" s="95"/>
      <c r="R51" s="96"/>
      <c r="S51" s="97" t="s">
        <v>163</v>
      </c>
      <c r="T51" s="98"/>
      <c r="U51" s="98"/>
      <c r="V51" s="98"/>
      <c r="W51" s="98"/>
      <c r="X51" s="98"/>
      <c r="Y51" s="98"/>
      <c r="Z51" s="98"/>
      <c r="AA51" s="98"/>
      <c r="AB51" s="98"/>
      <c r="AC51" s="98"/>
      <c r="AD51" s="98"/>
      <c r="AE51" s="98"/>
      <c r="AF51" s="98"/>
      <c r="AG51" s="98"/>
      <c r="AH51" s="98"/>
      <c r="AI51" s="98"/>
      <c r="AJ51" s="99"/>
      <c r="AK51" s="91" t="s">
        <v>27</v>
      </c>
      <c r="AL51" s="92"/>
      <c r="AM51" s="92"/>
      <c r="AN51" s="92"/>
      <c r="AO51" s="92"/>
      <c r="AP51" s="92"/>
      <c r="AQ51" s="93"/>
      <c r="AR51" s="91" t="s">
        <v>164</v>
      </c>
      <c r="AS51" s="92"/>
      <c r="AT51" s="92"/>
      <c r="AU51" s="92"/>
      <c r="AV51" s="92"/>
      <c r="AW51" s="92"/>
      <c r="AX51" s="93"/>
      <c r="AY51" s="91" t="s">
        <v>25</v>
      </c>
      <c r="AZ51" s="92"/>
      <c r="BA51" s="92"/>
      <c r="BB51" s="92"/>
      <c r="BC51" s="92"/>
      <c r="BD51" s="92"/>
      <c r="BE51" s="92"/>
      <c r="BF51" s="92"/>
      <c r="BG51" s="93"/>
      <c r="BL51" s="43" t="s">
        <v>38</v>
      </c>
      <c r="BM51" s="43"/>
      <c r="BN51" s="43"/>
      <c r="BO51" s="43"/>
      <c r="BP51" s="43"/>
      <c r="BQ51" s="43"/>
      <c r="BR51" s="43"/>
      <c r="BS51" s="43"/>
      <c r="BT51" s="43"/>
      <c r="BU51" s="43"/>
      <c r="BV51" s="43"/>
      <c r="BW51" s="43"/>
      <c r="BX51" s="43"/>
      <c r="BY51" s="43"/>
      <c r="BZ51" s="43"/>
      <c r="CA51" s="43"/>
      <c r="CB51" s="43"/>
      <c r="CC51" s="43"/>
      <c r="CD51" s="43"/>
      <c r="CE51" s="43"/>
      <c r="CF51" s="43"/>
      <c r="CG51" s="45" t="str">
        <f>" "&amp;CB39</f>
        <v xml:space="preserve"> 24.13</v>
      </c>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row>
    <row r="52" spans="1:120" ht="12" customHeight="1" x14ac:dyDescent="0.2">
      <c r="E52" s="94" t="s">
        <v>20</v>
      </c>
      <c r="F52" s="95"/>
      <c r="G52" s="95"/>
      <c r="H52" s="95"/>
      <c r="I52" s="95"/>
      <c r="J52" s="95"/>
      <c r="K52" s="95"/>
      <c r="L52" s="95"/>
      <c r="M52" s="95"/>
      <c r="N52" s="95"/>
      <c r="O52" s="95"/>
      <c r="P52" s="95"/>
      <c r="Q52" s="95"/>
      <c r="R52" s="96"/>
      <c r="S52" s="97" t="s">
        <v>165</v>
      </c>
      <c r="T52" s="98"/>
      <c r="U52" s="98"/>
      <c r="V52" s="98"/>
      <c r="W52" s="98"/>
      <c r="X52" s="98"/>
      <c r="Y52" s="98"/>
      <c r="Z52" s="98"/>
      <c r="AA52" s="98"/>
      <c r="AB52" s="98"/>
      <c r="AC52" s="98"/>
      <c r="AD52" s="98"/>
      <c r="AE52" s="98"/>
      <c r="AF52" s="98"/>
      <c r="AG52" s="98"/>
      <c r="AH52" s="98"/>
      <c r="AI52" s="98"/>
      <c r="AJ52" s="99"/>
      <c r="AK52" s="91" t="s">
        <v>7</v>
      </c>
      <c r="AL52" s="92"/>
      <c r="AM52" s="92"/>
      <c r="AN52" s="92"/>
      <c r="AO52" s="92"/>
      <c r="AP52" s="92"/>
      <c r="AQ52" s="93"/>
      <c r="AR52" s="91" t="s">
        <v>10</v>
      </c>
      <c r="AS52" s="92"/>
      <c r="AT52" s="92"/>
      <c r="AU52" s="92"/>
      <c r="AV52" s="92"/>
      <c r="AW52" s="92"/>
      <c r="AX52" s="93"/>
      <c r="AY52" s="91" t="s">
        <v>5</v>
      </c>
      <c r="AZ52" s="92"/>
      <c r="BA52" s="92"/>
      <c r="BB52" s="92"/>
      <c r="BC52" s="92"/>
      <c r="BD52" s="92"/>
      <c r="BE52" s="92"/>
      <c r="BF52" s="92"/>
      <c r="BG52" s="93"/>
      <c r="BL52" s="43" t="s">
        <v>37</v>
      </c>
      <c r="BM52" s="43"/>
      <c r="BN52" s="43"/>
      <c r="BO52" s="43"/>
      <c r="BP52" s="43"/>
      <c r="BQ52" s="43"/>
      <c r="BR52" s="43"/>
      <c r="BS52" s="43"/>
      <c r="BT52" s="43"/>
      <c r="BU52" s="43"/>
      <c r="BV52" s="43"/>
      <c r="BW52" s="43"/>
      <c r="BX52" s="43"/>
      <c r="BY52" s="43"/>
      <c r="BZ52" s="43"/>
      <c r="CA52" s="43"/>
      <c r="CB52" s="43"/>
      <c r="CC52" s="43"/>
      <c r="CD52" s="43"/>
      <c r="CE52" s="43"/>
      <c r="CF52" s="43"/>
      <c r="CG52" s="45" t="s">
        <v>36</v>
      </c>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row>
    <row r="53" spans="1:120" ht="12" customHeight="1" x14ac:dyDescent="0.2">
      <c r="E53" s="94" t="s">
        <v>16</v>
      </c>
      <c r="F53" s="95"/>
      <c r="G53" s="95"/>
      <c r="H53" s="95"/>
      <c r="I53" s="95"/>
      <c r="J53" s="95"/>
      <c r="K53" s="95"/>
      <c r="L53" s="95"/>
      <c r="M53" s="95"/>
      <c r="N53" s="95"/>
      <c r="O53" s="95"/>
      <c r="P53" s="95"/>
      <c r="Q53" s="95"/>
      <c r="R53" s="96"/>
      <c r="S53" s="97" t="s">
        <v>166</v>
      </c>
      <c r="T53" s="98"/>
      <c r="U53" s="98"/>
      <c r="V53" s="98"/>
      <c r="W53" s="98"/>
      <c r="X53" s="98"/>
      <c r="Y53" s="98"/>
      <c r="Z53" s="98"/>
      <c r="AA53" s="98"/>
      <c r="AB53" s="98"/>
      <c r="AC53" s="98"/>
      <c r="AD53" s="98"/>
      <c r="AE53" s="98"/>
      <c r="AF53" s="98"/>
      <c r="AG53" s="98"/>
      <c r="AH53" s="98"/>
      <c r="AI53" s="98"/>
      <c r="AJ53" s="99"/>
      <c r="AK53" s="91" t="s">
        <v>7</v>
      </c>
      <c r="AL53" s="92"/>
      <c r="AM53" s="92"/>
      <c r="AN53" s="92"/>
      <c r="AO53" s="92"/>
      <c r="AP53" s="92"/>
      <c r="AQ53" s="93"/>
      <c r="AR53" s="91" t="s">
        <v>10</v>
      </c>
      <c r="AS53" s="92"/>
      <c r="AT53" s="92"/>
      <c r="AU53" s="92"/>
      <c r="AV53" s="92"/>
      <c r="AW53" s="92"/>
      <c r="AX53" s="93"/>
      <c r="AY53" s="91" t="s">
        <v>5</v>
      </c>
      <c r="AZ53" s="92"/>
      <c r="BA53" s="92"/>
      <c r="BB53" s="92"/>
      <c r="BC53" s="92"/>
      <c r="BD53" s="92"/>
      <c r="BE53" s="92"/>
      <c r="BF53" s="92"/>
      <c r="BG53" s="93"/>
      <c r="BL53" s="43" t="s">
        <v>30</v>
      </c>
      <c r="BM53" s="43"/>
      <c r="BN53" s="43"/>
      <c r="BO53" s="43"/>
      <c r="BP53" s="43"/>
      <c r="BQ53" s="43"/>
      <c r="BR53" s="43"/>
      <c r="BS53" s="43"/>
      <c r="BT53" s="43"/>
      <c r="BU53" s="43"/>
      <c r="BV53" s="43"/>
      <c r="BW53" s="43"/>
      <c r="BX53" s="43"/>
      <c r="BY53" s="43"/>
      <c r="BZ53" s="43"/>
      <c r="CA53" s="43"/>
      <c r="CB53" s="43"/>
      <c r="CC53" s="43"/>
      <c r="CD53" s="43"/>
      <c r="CE53" s="43"/>
      <c r="CF53" s="43"/>
      <c r="CG53" s="45" t="str">
        <f>" "&amp;BU43</f>
        <v xml:space="preserve"> 48.26</v>
      </c>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row>
    <row r="54" spans="1:120" ht="12" customHeight="1" x14ac:dyDescent="0.2">
      <c r="E54" s="94" t="s">
        <v>167</v>
      </c>
      <c r="F54" s="95"/>
      <c r="G54" s="95"/>
      <c r="H54" s="95"/>
      <c r="I54" s="95"/>
      <c r="J54" s="95"/>
      <c r="K54" s="95"/>
      <c r="L54" s="95"/>
      <c r="M54" s="95"/>
      <c r="N54" s="95"/>
      <c r="O54" s="95"/>
      <c r="P54" s="95"/>
      <c r="Q54" s="95"/>
      <c r="R54" s="96"/>
      <c r="S54" s="97" t="s">
        <v>168</v>
      </c>
      <c r="T54" s="98"/>
      <c r="U54" s="98"/>
      <c r="V54" s="98"/>
      <c r="W54" s="98"/>
      <c r="X54" s="98"/>
      <c r="Y54" s="98"/>
      <c r="Z54" s="98"/>
      <c r="AA54" s="98"/>
      <c r="AB54" s="98"/>
      <c r="AC54" s="98"/>
      <c r="AD54" s="98"/>
      <c r="AE54" s="98"/>
      <c r="AF54" s="98"/>
      <c r="AG54" s="98"/>
      <c r="AH54" s="98"/>
      <c r="AI54" s="98"/>
      <c r="AJ54" s="99"/>
      <c r="AK54" s="91" t="s">
        <v>7</v>
      </c>
      <c r="AL54" s="92"/>
      <c r="AM54" s="92"/>
      <c r="AN54" s="92"/>
      <c r="AO54" s="92"/>
      <c r="AP54" s="92"/>
      <c r="AQ54" s="93"/>
      <c r="AR54" s="91" t="s">
        <v>6</v>
      </c>
      <c r="AS54" s="92"/>
      <c r="AT54" s="92"/>
      <c r="AU54" s="92"/>
      <c r="AV54" s="92"/>
      <c r="AW54" s="92"/>
      <c r="AX54" s="93"/>
      <c r="AY54" s="91" t="s">
        <v>5</v>
      </c>
      <c r="AZ54" s="92"/>
      <c r="BA54" s="92"/>
      <c r="BB54" s="92"/>
      <c r="BC54" s="92"/>
      <c r="BD54" s="92"/>
      <c r="BE54" s="92"/>
      <c r="BF54" s="92"/>
      <c r="BG54" s="93"/>
      <c r="BL54" s="43" t="s">
        <v>24</v>
      </c>
      <c r="BM54" s="43"/>
      <c r="BN54" s="43"/>
      <c r="BO54" s="43"/>
      <c r="BP54" s="43"/>
      <c r="BQ54" s="43"/>
      <c r="BR54" s="43"/>
      <c r="BS54" s="43"/>
      <c r="BT54" s="43"/>
      <c r="BU54" s="43"/>
      <c r="BV54" s="43"/>
      <c r="BW54" s="43"/>
      <c r="BX54" s="43"/>
      <c r="BY54" s="43"/>
      <c r="BZ54" s="43"/>
      <c r="CA54" s="43"/>
      <c r="CB54" s="43"/>
      <c r="CC54" s="43"/>
      <c r="CD54" s="43"/>
      <c r="CE54" s="43"/>
      <c r="CF54" s="43"/>
      <c r="CG54" s="45" t="s">
        <v>23</v>
      </c>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row>
    <row r="55" spans="1:120" ht="12" customHeight="1" x14ac:dyDescent="0.2">
      <c r="E55" s="94" t="s">
        <v>169</v>
      </c>
      <c r="F55" s="95"/>
      <c r="G55" s="95"/>
      <c r="H55" s="95"/>
      <c r="I55" s="95"/>
      <c r="J55" s="95"/>
      <c r="K55" s="95"/>
      <c r="L55" s="95"/>
      <c r="M55" s="95"/>
      <c r="N55" s="95"/>
      <c r="O55" s="95"/>
      <c r="P55" s="95"/>
      <c r="Q55" s="95"/>
      <c r="R55" s="96"/>
      <c r="S55" s="97" t="s">
        <v>170</v>
      </c>
      <c r="T55" s="98"/>
      <c r="U55" s="98"/>
      <c r="V55" s="98"/>
      <c r="W55" s="98"/>
      <c r="X55" s="98"/>
      <c r="Y55" s="98"/>
      <c r="Z55" s="98"/>
      <c r="AA55" s="98"/>
      <c r="AB55" s="98"/>
      <c r="AC55" s="98"/>
      <c r="AD55" s="98"/>
      <c r="AE55" s="98"/>
      <c r="AF55" s="98"/>
      <c r="AG55" s="98"/>
      <c r="AH55" s="98"/>
      <c r="AI55" s="98"/>
      <c r="AJ55" s="99"/>
      <c r="AK55" s="91" t="s">
        <v>7</v>
      </c>
      <c r="AL55" s="92"/>
      <c r="AM55" s="92"/>
      <c r="AN55" s="92"/>
      <c r="AO55" s="92"/>
      <c r="AP55" s="92"/>
      <c r="AQ55" s="93"/>
      <c r="AR55" s="91" t="s">
        <v>171</v>
      </c>
      <c r="AS55" s="92"/>
      <c r="AT55" s="92"/>
      <c r="AU55" s="92"/>
      <c r="AV55" s="92"/>
      <c r="AW55" s="92"/>
      <c r="AX55" s="93"/>
      <c r="AY55" s="91" t="s">
        <v>25</v>
      </c>
      <c r="AZ55" s="92"/>
      <c r="BA55" s="92"/>
      <c r="BB55" s="92"/>
      <c r="BC55" s="92"/>
      <c r="BD55" s="92"/>
      <c r="BE55" s="92"/>
      <c r="BF55" s="92"/>
      <c r="BG55" s="93"/>
      <c r="BL55" s="43" t="s">
        <v>22</v>
      </c>
      <c r="BM55" s="43"/>
      <c r="BN55" s="43"/>
      <c r="BO55" s="43"/>
      <c r="BP55" s="43"/>
      <c r="BQ55" s="43"/>
      <c r="BR55" s="43"/>
      <c r="BS55" s="43"/>
      <c r="BT55" s="43"/>
      <c r="BU55" s="43"/>
      <c r="BV55" s="43"/>
      <c r="BW55" s="43"/>
      <c r="BX55" s="43"/>
      <c r="BY55" s="43"/>
      <c r="BZ55" s="43"/>
      <c r="CA55" s="43"/>
      <c r="CB55" s="43"/>
      <c r="CC55" s="43"/>
      <c r="CD55" s="43"/>
      <c r="CE55" s="43"/>
      <c r="CF55" s="43"/>
      <c r="CG55" s="45" t="s">
        <v>21</v>
      </c>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row>
    <row r="56" spans="1:120" ht="12" customHeight="1" x14ac:dyDescent="0.2">
      <c r="E56" s="94" t="s">
        <v>172</v>
      </c>
      <c r="F56" s="95"/>
      <c r="G56" s="95"/>
      <c r="H56" s="95"/>
      <c r="I56" s="95"/>
      <c r="J56" s="95"/>
      <c r="K56" s="95"/>
      <c r="L56" s="95"/>
      <c r="M56" s="95"/>
      <c r="N56" s="95"/>
      <c r="O56" s="95"/>
      <c r="P56" s="95"/>
      <c r="Q56" s="95"/>
      <c r="R56" s="96"/>
      <c r="S56" s="97" t="s">
        <v>173</v>
      </c>
      <c r="T56" s="98"/>
      <c r="U56" s="98"/>
      <c r="V56" s="98"/>
      <c r="W56" s="98"/>
      <c r="X56" s="98"/>
      <c r="Y56" s="98"/>
      <c r="Z56" s="98"/>
      <c r="AA56" s="98"/>
      <c r="AB56" s="98"/>
      <c r="AC56" s="98"/>
      <c r="AD56" s="98"/>
      <c r="AE56" s="98"/>
      <c r="AF56" s="98"/>
      <c r="AG56" s="98"/>
      <c r="AH56" s="98"/>
      <c r="AI56" s="98"/>
      <c r="AJ56" s="99"/>
      <c r="AK56" s="91" t="s">
        <v>7</v>
      </c>
      <c r="AL56" s="92"/>
      <c r="AM56" s="92"/>
      <c r="AN56" s="92"/>
      <c r="AO56" s="92"/>
      <c r="AP56" s="92"/>
      <c r="AQ56" s="93"/>
      <c r="AR56" s="91" t="s">
        <v>174</v>
      </c>
      <c r="AS56" s="92"/>
      <c r="AT56" s="92"/>
      <c r="AU56" s="92"/>
      <c r="AV56" s="92"/>
      <c r="AW56" s="92"/>
      <c r="AX56" s="93"/>
      <c r="AY56" s="91" t="s">
        <v>5</v>
      </c>
      <c r="AZ56" s="92"/>
      <c r="BA56" s="92"/>
      <c r="BB56" s="92"/>
      <c r="BC56" s="92"/>
      <c r="BD56" s="92"/>
      <c r="BE56" s="92"/>
      <c r="BF56" s="92"/>
      <c r="BG56" s="93"/>
      <c r="BL56" s="43" t="s">
        <v>162</v>
      </c>
      <c r="BM56" s="43"/>
      <c r="BN56" s="43"/>
      <c r="BO56" s="43"/>
      <c r="BP56" s="43"/>
      <c r="BQ56" s="43"/>
      <c r="BR56" s="43"/>
      <c r="BS56" s="43"/>
      <c r="BT56" s="43"/>
      <c r="BU56" s="43"/>
      <c r="BV56" s="43"/>
      <c r="BW56" s="43"/>
      <c r="BX56" s="43"/>
      <c r="BY56" s="43"/>
      <c r="BZ56" s="43"/>
      <c r="CA56" s="43"/>
      <c r="CB56" s="43"/>
      <c r="CC56" s="43"/>
      <c r="CD56" s="43"/>
      <c r="CE56" s="43"/>
      <c r="CF56" s="43"/>
      <c r="CG56" s="45" t="str">
        <f>" "&amp;DB24&amp;" ±"&amp;CG53&amp;" cal/g"</f>
        <v xml:space="preserve"> 5841.1 ± 48.26 cal/g</v>
      </c>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row>
    <row r="57" spans="1:120" ht="12" customHeight="1" x14ac:dyDescent="0.2">
      <c r="E57" s="94" t="s">
        <v>175</v>
      </c>
      <c r="F57" s="95"/>
      <c r="G57" s="95"/>
      <c r="H57" s="95"/>
      <c r="I57" s="95"/>
      <c r="J57" s="95"/>
      <c r="K57" s="95"/>
      <c r="L57" s="95"/>
      <c r="M57" s="95"/>
      <c r="N57" s="95"/>
      <c r="O57" s="95"/>
      <c r="P57" s="95"/>
      <c r="Q57" s="95"/>
      <c r="R57" s="96"/>
      <c r="S57" s="97" t="s">
        <v>176</v>
      </c>
      <c r="T57" s="98"/>
      <c r="U57" s="98"/>
      <c r="V57" s="98"/>
      <c r="W57" s="98"/>
      <c r="X57" s="98"/>
      <c r="Y57" s="98"/>
      <c r="Z57" s="98"/>
      <c r="AA57" s="98"/>
      <c r="AB57" s="98"/>
      <c r="AC57" s="98"/>
      <c r="AD57" s="98"/>
      <c r="AE57" s="98"/>
      <c r="AF57" s="98"/>
      <c r="AG57" s="98"/>
      <c r="AH57" s="98"/>
      <c r="AI57" s="98"/>
      <c r="AJ57" s="99"/>
      <c r="AK57" s="91" t="s">
        <v>7</v>
      </c>
      <c r="AL57" s="92"/>
      <c r="AM57" s="92"/>
      <c r="AN57" s="92"/>
      <c r="AO57" s="92"/>
      <c r="AP57" s="92"/>
      <c r="AQ57" s="93"/>
      <c r="AR57" s="91" t="s">
        <v>174</v>
      </c>
      <c r="AS57" s="92"/>
      <c r="AT57" s="92"/>
      <c r="AU57" s="92"/>
      <c r="AV57" s="92"/>
      <c r="AW57" s="92"/>
      <c r="AX57" s="93"/>
      <c r="AY57" s="91" t="s">
        <v>5</v>
      </c>
      <c r="AZ57" s="92"/>
      <c r="BA57" s="92"/>
      <c r="BB57" s="92"/>
      <c r="BC57" s="92"/>
      <c r="BD57" s="92"/>
      <c r="BE57" s="92"/>
      <c r="BF57" s="92"/>
      <c r="BG57" s="93"/>
      <c r="BL57" s="43" t="s">
        <v>17</v>
      </c>
      <c r="BM57" s="43"/>
      <c r="BN57" s="43"/>
      <c r="BO57" s="43"/>
      <c r="BP57" s="43"/>
      <c r="BQ57" s="43"/>
      <c r="BR57" s="43"/>
      <c r="BS57" s="43"/>
      <c r="BT57" s="43"/>
      <c r="BU57" s="43"/>
      <c r="BV57" s="43"/>
      <c r="BW57" s="43"/>
      <c r="BX57" s="43"/>
      <c r="BY57" s="43"/>
      <c r="BZ57" s="43"/>
      <c r="CA57" s="43"/>
      <c r="CB57" s="43"/>
      <c r="CC57" s="43"/>
      <c r="CD57" s="43"/>
      <c r="CE57" s="43"/>
      <c r="CF57" s="43"/>
      <c r="CG57" s="44" t="str">
        <f ca="1">" "&amp;TEXT(TODAY(),"dd mmmm, yyyy")</f>
        <v xml:space="preserve"> 12 March, 2026</v>
      </c>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row>
    <row r="58" spans="1:120" ht="12" customHeight="1" x14ac:dyDescent="0.2">
      <c r="E58" s="94" t="s">
        <v>177</v>
      </c>
      <c r="F58" s="95"/>
      <c r="G58" s="95"/>
      <c r="H58" s="95"/>
      <c r="I58" s="95"/>
      <c r="J58" s="95"/>
      <c r="K58" s="95"/>
      <c r="L58" s="95"/>
      <c r="M58" s="95"/>
      <c r="N58" s="95"/>
      <c r="O58" s="95"/>
      <c r="P58" s="95"/>
      <c r="Q58" s="95"/>
      <c r="R58" s="96"/>
      <c r="S58" s="97" t="s">
        <v>178</v>
      </c>
      <c r="T58" s="98"/>
      <c r="U58" s="98"/>
      <c r="V58" s="98"/>
      <c r="W58" s="98"/>
      <c r="X58" s="98"/>
      <c r="Y58" s="98"/>
      <c r="Z58" s="98"/>
      <c r="AA58" s="98"/>
      <c r="AB58" s="98"/>
      <c r="AC58" s="98"/>
      <c r="AD58" s="98"/>
      <c r="AE58" s="98"/>
      <c r="AF58" s="98"/>
      <c r="AG58" s="98"/>
      <c r="AH58" s="98"/>
      <c r="AI58" s="98"/>
      <c r="AJ58" s="99"/>
      <c r="AK58" s="91" t="s">
        <v>7</v>
      </c>
      <c r="AL58" s="92"/>
      <c r="AM58" s="92"/>
      <c r="AN58" s="92"/>
      <c r="AO58" s="92"/>
      <c r="AP58" s="92"/>
      <c r="AQ58" s="93"/>
      <c r="AR58" s="91" t="s">
        <v>174</v>
      </c>
      <c r="AS58" s="92"/>
      <c r="AT58" s="92"/>
      <c r="AU58" s="92"/>
      <c r="AV58" s="92"/>
      <c r="AW58" s="92"/>
      <c r="AX58" s="93"/>
      <c r="AY58" s="91" t="s">
        <v>5</v>
      </c>
      <c r="AZ58" s="92"/>
      <c r="BA58" s="92"/>
      <c r="BB58" s="92"/>
      <c r="BC58" s="92"/>
      <c r="BD58" s="92"/>
      <c r="BE58" s="92"/>
      <c r="BF58" s="92"/>
      <c r="BG58" s="93"/>
      <c r="BL58" s="43" t="s">
        <v>14</v>
      </c>
      <c r="BM58" s="43"/>
      <c r="BN58" s="43"/>
      <c r="BO58" s="43"/>
      <c r="BP58" s="43"/>
      <c r="BQ58" s="43"/>
      <c r="BR58" s="43"/>
      <c r="BS58" s="43"/>
      <c r="BT58" s="43"/>
      <c r="BU58" s="43"/>
      <c r="BV58" s="43"/>
      <c r="BW58" s="43"/>
      <c r="BX58" s="43"/>
      <c r="BY58" s="43"/>
      <c r="BZ58" s="43"/>
      <c r="CA58" s="43"/>
      <c r="CB58" s="43"/>
      <c r="CC58" s="43"/>
      <c r="CD58" s="43"/>
      <c r="CE58" s="43"/>
      <c r="CF58" s="43"/>
      <c r="CG58" s="45" t="s">
        <v>13</v>
      </c>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row>
    <row r="59" spans="1:120" ht="12" customHeight="1" x14ac:dyDescent="0.2">
      <c r="E59" s="94" t="s">
        <v>179</v>
      </c>
      <c r="F59" s="95"/>
      <c r="G59" s="95"/>
      <c r="H59" s="95"/>
      <c r="I59" s="95"/>
      <c r="J59" s="95"/>
      <c r="K59" s="95"/>
      <c r="L59" s="95"/>
      <c r="M59" s="95"/>
      <c r="N59" s="95"/>
      <c r="O59" s="95"/>
      <c r="P59" s="95"/>
      <c r="Q59" s="95"/>
      <c r="R59" s="96"/>
      <c r="S59" s="97" t="s">
        <v>180</v>
      </c>
      <c r="T59" s="98"/>
      <c r="U59" s="98"/>
      <c r="V59" s="98"/>
      <c r="W59" s="98"/>
      <c r="X59" s="98"/>
      <c r="Y59" s="98"/>
      <c r="Z59" s="98"/>
      <c r="AA59" s="98"/>
      <c r="AB59" s="98"/>
      <c r="AC59" s="98"/>
      <c r="AD59" s="98"/>
      <c r="AE59" s="98"/>
      <c r="AF59" s="98"/>
      <c r="AG59" s="98"/>
      <c r="AH59" s="98"/>
      <c r="AI59" s="98"/>
      <c r="AJ59" s="99"/>
      <c r="AK59" s="91" t="s">
        <v>7</v>
      </c>
      <c r="AL59" s="92"/>
      <c r="AM59" s="92"/>
      <c r="AN59" s="92"/>
      <c r="AO59" s="92"/>
      <c r="AP59" s="92"/>
      <c r="AQ59" s="93"/>
      <c r="AR59" s="91" t="s">
        <v>164</v>
      </c>
      <c r="AS59" s="92"/>
      <c r="AT59" s="92"/>
      <c r="AU59" s="92"/>
      <c r="AV59" s="92"/>
      <c r="AW59" s="92"/>
      <c r="AX59" s="93"/>
      <c r="AY59" s="91" t="s">
        <v>5</v>
      </c>
      <c r="AZ59" s="92"/>
      <c r="BA59" s="92"/>
      <c r="BB59" s="92"/>
      <c r="BC59" s="92"/>
      <c r="BD59" s="92"/>
      <c r="BE59" s="92"/>
      <c r="BF59" s="92"/>
      <c r="BG59" s="93"/>
      <c r="BL59" s="46" t="str">
        <f>"The measurement uncertainty for gross calorific value in coal was evaluated according to IS 1350 (Part 2): 2022 and NABL-141 (GUM) guidelines. The combined standard uncertainty was"&amp;CG51&amp;", and the expanded uncertainty (k = 2, 95% confidence) was ±"&amp;CG53&amp;" cal/g."</f>
        <v>The measurement uncertainty for gross calorific value in coal was evaluated according to IS 1350 (Part 2): 2022 and NABL-141 (GUM) guidelines. The combined standard uncertainty was 24.13, and the expanded uncertainty (k = 2, 95% confidence) was ± 48.26 cal/g.</v>
      </c>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row>
    <row r="60" spans="1:120" ht="12" customHeight="1" x14ac:dyDescent="0.2">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row>
    <row r="61" spans="1:120" ht="12" customHeight="1" x14ac:dyDescent="0.2">
      <c r="A61" s="4"/>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4"/>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row>
    <row r="62" spans="1:120" ht="12"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L62" s="37" t="s">
        <v>4</v>
      </c>
      <c r="BM62" s="37"/>
      <c r="BN62" s="37"/>
      <c r="BO62" s="37"/>
      <c r="BP62" s="37"/>
      <c r="BQ62" s="37"/>
      <c r="BR62" s="37"/>
      <c r="BS62" s="37"/>
      <c r="BT62" s="37"/>
      <c r="BU62" s="36" t="s">
        <v>117</v>
      </c>
      <c r="BV62" s="36"/>
      <c r="BW62" s="36"/>
      <c r="BX62" s="36"/>
      <c r="BY62" s="36"/>
      <c r="BZ62" s="36"/>
      <c r="CA62" s="36"/>
      <c r="CB62" s="36"/>
      <c r="CC62" s="36"/>
      <c r="CD62" s="38" t="str">
        <f>DB24&amp;" ± "&amp;BU43&amp;" cal/g"</f>
        <v>5841.1 ± 48.26 cal/g</v>
      </c>
      <c r="CE62" s="39"/>
      <c r="CF62" s="39"/>
      <c r="CG62" s="39"/>
      <c r="CH62" s="39"/>
      <c r="CI62" s="39"/>
      <c r="CJ62" s="39"/>
      <c r="CK62" s="39"/>
      <c r="CL62" s="39"/>
      <c r="CM62" s="39"/>
      <c r="CN62" s="39"/>
      <c r="CO62" s="39"/>
      <c r="CP62" s="3"/>
      <c r="CQ62" s="3"/>
      <c r="CR62" s="3"/>
      <c r="CS62" s="3"/>
      <c r="CT62" s="3"/>
      <c r="CU62" s="3"/>
      <c r="CV62" s="3"/>
      <c r="CW62" s="3"/>
      <c r="CX62" s="3"/>
      <c r="CY62" s="3"/>
      <c r="CZ62" s="3"/>
      <c r="DA62" s="3"/>
      <c r="DB62" s="3"/>
      <c r="DC62" s="3"/>
      <c r="DD62" s="3"/>
      <c r="DE62" s="3"/>
      <c r="DF62" s="3"/>
      <c r="DG62" s="3"/>
      <c r="DH62" s="3"/>
      <c r="DI62" s="3"/>
      <c r="DJ62" s="3"/>
      <c r="DK62" s="3"/>
      <c r="DL62" s="3"/>
      <c r="DM62" s="3"/>
      <c r="DN62" s="3"/>
    </row>
    <row r="63" spans="1:120" ht="12" customHeight="1" x14ac:dyDescent="0.2">
      <c r="B63" s="33" t="s">
        <v>2</v>
      </c>
      <c r="C63" s="34"/>
      <c r="D63" s="34"/>
      <c r="E63" s="34"/>
      <c r="F63" s="34"/>
      <c r="G63" s="34"/>
      <c r="H63" s="34"/>
      <c r="I63" s="34"/>
      <c r="J63" s="34"/>
      <c r="K63" s="34"/>
      <c r="L63" s="34"/>
      <c r="M63" s="34"/>
      <c r="N63" s="34"/>
      <c r="O63" s="34"/>
      <c r="P63" s="34"/>
      <c r="Q63" s="34"/>
      <c r="R63" s="34"/>
      <c r="S63" s="34"/>
      <c r="T63" s="34"/>
      <c r="V63" s="33" t="s">
        <v>1</v>
      </c>
      <c r="W63" s="34"/>
      <c r="X63" s="34"/>
      <c r="Y63" s="34"/>
      <c r="Z63" s="34"/>
      <c r="AA63" s="34"/>
      <c r="AB63" s="34"/>
      <c r="AC63" s="34"/>
      <c r="AD63" s="34"/>
      <c r="AE63" s="34"/>
      <c r="AF63" s="34"/>
      <c r="AG63" s="34"/>
      <c r="AH63" s="34"/>
      <c r="AI63" s="34"/>
      <c r="AJ63" s="34"/>
      <c r="AK63" s="34"/>
      <c r="AL63" s="34"/>
      <c r="AM63" s="34"/>
      <c r="AN63" s="34"/>
      <c r="AP63" s="33" t="s">
        <v>0</v>
      </c>
      <c r="AQ63" s="34"/>
      <c r="AR63" s="34"/>
      <c r="AS63" s="34"/>
      <c r="AT63" s="34"/>
      <c r="AU63" s="34"/>
      <c r="AV63" s="34"/>
      <c r="AW63" s="34"/>
      <c r="AX63" s="34"/>
      <c r="AY63" s="34"/>
      <c r="AZ63" s="34"/>
      <c r="BA63" s="34"/>
      <c r="BB63" s="34"/>
      <c r="BC63" s="34"/>
      <c r="BD63" s="34"/>
      <c r="BE63" s="34"/>
      <c r="BF63" s="34"/>
      <c r="BG63" s="34"/>
      <c r="BH63" s="34"/>
      <c r="BI63" s="19"/>
      <c r="BJ63" s="107" t="s">
        <v>2</v>
      </c>
      <c r="BK63" s="108"/>
      <c r="BL63" s="108"/>
      <c r="BM63" s="108"/>
      <c r="BN63" s="108"/>
      <c r="BO63" s="108"/>
      <c r="BP63" s="108"/>
      <c r="BQ63" s="108"/>
      <c r="BR63" s="108"/>
      <c r="BS63" s="108"/>
      <c r="BT63" s="108"/>
      <c r="BU63" s="108"/>
      <c r="BV63" s="108"/>
      <c r="BW63" s="108"/>
      <c r="BX63" s="108"/>
      <c r="BY63" s="108"/>
      <c r="BZ63" s="108"/>
      <c r="CA63" s="108"/>
      <c r="CB63" s="108"/>
      <c r="CC63" s="19"/>
      <c r="CD63" s="107" t="s">
        <v>1</v>
      </c>
      <c r="CE63" s="108"/>
      <c r="CF63" s="108"/>
      <c r="CG63" s="108"/>
      <c r="CH63" s="108"/>
      <c r="CI63" s="108"/>
      <c r="CJ63" s="108"/>
      <c r="CK63" s="108"/>
      <c r="CL63" s="108"/>
      <c r="CM63" s="108"/>
      <c r="CN63" s="108"/>
      <c r="CO63" s="108"/>
      <c r="CP63" s="108"/>
      <c r="CQ63" s="108"/>
      <c r="CR63" s="108"/>
      <c r="CS63" s="108"/>
      <c r="CT63" s="108"/>
      <c r="CU63" s="108"/>
      <c r="CV63" s="108"/>
      <c r="CW63" s="19"/>
      <c r="CX63" s="107" t="s">
        <v>0</v>
      </c>
      <c r="CY63" s="108"/>
      <c r="CZ63" s="108"/>
      <c r="DA63" s="108"/>
      <c r="DB63" s="108"/>
      <c r="DC63" s="108"/>
      <c r="DD63" s="108"/>
      <c r="DE63" s="108"/>
      <c r="DF63" s="108"/>
      <c r="DG63" s="108"/>
      <c r="DH63" s="108"/>
      <c r="DI63" s="108"/>
      <c r="DJ63" s="108"/>
      <c r="DK63" s="108"/>
      <c r="DL63" s="108"/>
      <c r="DM63" s="108"/>
      <c r="DN63" s="108"/>
      <c r="DO63" s="108"/>
      <c r="DP63" s="108"/>
    </row>
    <row r="64" spans="1:120" ht="12" customHeight="1" x14ac:dyDescent="0.2">
      <c r="B64" s="34"/>
      <c r="C64" s="34"/>
      <c r="D64" s="34"/>
      <c r="E64" s="34"/>
      <c r="F64" s="34"/>
      <c r="G64" s="34"/>
      <c r="H64" s="34"/>
      <c r="I64" s="34"/>
      <c r="J64" s="34"/>
      <c r="K64" s="34"/>
      <c r="L64" s="34"/>
      <c r="M64" s="34"/>
      <c r="N64" s="34"/>
      <c r="O64" s="34"/>
      <c r="P64" s="34"/>
      <c r="Q64" s="34"/>
      <c r="R64" s="34"/>
      <c r="S64" s="34"/>
      <c r="T64" s="34"/>
      <c r="V64" s="34"/>
      <c r="W64" s="34"/>
      <c r="X64" s="34"/>
      <c r="Y64" s="34"/>
      <c r="Z64" s="34"/>
      <c r="AA64" s="34"/>
      <c r="AB64" s="34"/>
      <c r="AC64" s="34"/>
      <c r="AD64" s="34"/>
      <c r="AE64" s="34"/>
      <c r="AF64" s="34"/>
      <c r="AG64" s="34"/>
      <c r="AH64" s="34"/>
      <c r="AI64" s="34"/>
      <c r="AJ64" s="34"/>
      <c r="AK64" s="34"/>
      <c r="AL64" s="34"/>
      <c r="AM64" s="34"/>
      <c r="AN64" s="34"/>
      <c r="AP64" s="34"/>
      <c r="AQ64" s="34"/>
      <c r="AR64" s="34"/>
      <c r="AS64" s="34"/>
      <c r="AT64" s="34"/>
      <c r="AU64" s="34"/>
      <c r="AV64" s="34"/>
      <c r="AW64" s="34"/>
      <c r="AX64" s="34"/>
      <c r="AY64" s="34"/>
      <c r="AZ64" s="34"/>
      <c r="BA64" s="34"/>
      <c r="BB64" s="34"/>
      <c r="BC64" s="34"/>
      <c r="BD64" s="34"/>
      <c r="BE64" s="34"/>
      <c r="BF64" s="34"/>
      <c r="BG64" s="34"/>
      <c r="BH64" s="34"/>
      <c r="BI64" s="21"/>
      <c r="BJ64" s="109"/>
      <c r="BK64" s="109"/>
      <c r="BL64" s="109"/>
      <c r="BM64" s="109"/>
      <c r="BN64" s="109"/>
      <c r="BO64" s="109"/>
      <c r="BP64" s="109"/>
      <c r="BQ64" s="109"/>
      <c r="BR64" s="109"/>
      <c r="BS64" s="109"/>
      <c r="BT64" s="109"/>
      <c r="BU64" s="109"/>
      <c r="BV64" s="109"/>
      <c r="BW64" s="109"/>
      <c r="BX64" s="109"/>
      <c r="BY64" s="109"/>
      <c r="BZ64" s="109"/>
      <c r="CA64" s="109"/>
      <c r="CB64" s="109"/>
      <c r="CC64" s="21"/>
      <c r="CD64" s="109"/>
      <c r="CE64" s="109"/>
      <c r="CF64" s="109"/>
      <c r="CG64" s="109"/>
      <c r="CH64" s="109"/>
      <c r="CI64" s="109"/>
      <c r="CJ64" s="109"/>
      <c r="CK64" s="109"/>
      <c r="CL64" s="109"/>
      <c r="CM64" s="109"/>
      <c r="CN64" s="109"/>
      <c r="CO64" s="109"/>
      <c r="CP64" s="109"/>
      <c r="CQ64" s="109"/>
      <c r="CR64" s="109"/>
      <c r="CS64" s="109"/>
      <c r="CT64" s="109"/>
      <c r="CU64" s="109"/>
      <c r="CV64" s="109"/>
      <c r="CW64" s="21"/>
      <c r="CX64" s="109"/>
      <c r="CY64" s="109"/>
      <c r="CZ64" s="109"/>
      <c r="DA64" s="109"/>
      <c r="DB64" s="109"/>
      <c r="DC64" s="109"/>
      <c r="DD64" s="109"/>
      <c r="DE64" s="109"/>
      <c r="DF64" s="109"/>
      <c r="DG64" s="109"/>
      <c r="DH64" s="109"/>
      <c r="DI64" s="109"/>
      <c r="DJ64" s="109"/>
      <c r="DK64" s="109"/>
      <c r="DL64" s="109"/>
      <c r="DM64" s="109"/>
      <c r="DN64" s="109"/>
      <c r="DO64" s="109"/>
      <c r="DP64" s="109"/>
    </row>
    <row r="65" spans="2:120" ht="12" customHeight="1" x14ac:dyDescent="0.2">
      <c r="B65" s="34"/>
      <c r="C65" s="34"/>
      <c r="D65" s="34"/>
      <c r="E65" s="34"/>
      <c r="F65" s="34"/>
      <c r="G65" s="34"/>
      <c r="H65" s="34"/>
      <c r="I65" s="34"/>
      <c r="J65" s="34"/>
      <c r="K65" s="34"/>
      <c r="L65" s="34"/>
      <c r="M65" s="34"/>
      <c r="N65" s="34"/>
      <c r="O65" s="34"/>
      <c r="P65" s="34"/>
      <c r="Q65" s="34"/>
      <c r="R65" s="34"/>
      <c r="S65" s="34"/>
      <c r="T65" s="34"/>
      <c r="V65" s="34"/>
      <c r="W65" s="34"/>
      <c r="X65" s="34"/>
      <c r="Y65" s="34"/>
      <c r="Z65" s="34"/>
      <c r="AA65" s="34"/>
      <c r="AB65" s="34"/>
      <c r="AC65" s="34"/>
      <c r="AD65" s="34"/>
      <c r="AE65" s="34"/>
      <c r="AF65" s="34"/>
      <c r="AG65" s="34"/>
      <c r="AH65" s="34"/>
      <c r="AI65" s="34"/>
      <c r="AJ65" s="34"/>
      <c r="AK65" s="34"/>
      <c r="AL65" s="34"/>
      <c r="AM65" s="34"/>
      <c r="AN65" s="34"/>
      <c r="AP65" s="34"/>
      <c r="AQ65" s="34"/>
      <c r="AR65" s="34"/>
      <c r="AS65" s="34"/>
      <c r="AT65" s="34"/>
      <c r="AU65" s="34"/>
      <c r="AV65" s="34"/>
      <c r="AW65" s="34"/>
      <c r="AX65" s="34"/>
      <c r="AY65" s="34"/>
      <c r="AZ65" s="34"/>
      <c r="BA65" s="34"/>
      <c r="BB65" s="34"/>
      <c r="BC65" s="34"/>
      <c r="BD65" s="34"/>
      <c r="BE65" s="34"/>
      <c r="BF65" s="34"/>
      <c r="BG65" s="34"/>
      <c r="BH65" s="34"/>
      <c r="BI65" s="21"/>
      <c r="BJ65" s="109"/>
      <c r="BK65" s="109"/>
      <c r="BL65" s="109"/>
      <c r="BM65" s="109"/>
      <c r="BN65" s="109"/>
      <c r="BO65" s="109"/>
      <c r="BP65" s="109"/>
      <c r="BQ65" s="109"/>
      <c r="BR65" s="109"/>
      <c r="BS65" s="109"/>
      <c r="BT65" s="109"/>
      <c r="BU65" s="109"/>
      <c r="BV65" s="109"/>
      <c r="BW65" s="109"/>
      <c r="BX65" s="109"/>
      <c r="BY65" s="109"/>
      <c r="BZ65" s="109"/>
      <c r="CA65" s="109"/>
      <c r="CB65" s="109"/>
      <c r="CC65" s="21"/>
      <c r="CD65" s="109"/>
      <c r="CE65" s="109"/>
      <c r="CF65" s="109"/>
      <c r="CG65" s="109"/>
      <c r="CH65" s="109"/>
      <c r="CI65" s="109"/>
      <c r="CJ65" s="109"/>
      <c r="CK65" s="109"/>
      <c r="CL65" s="109"/>
      <c r="CM65" s="109"/>
      <c r="CN65" s="109"/>
      <c r="CO65" s="109"/>
      <c r="CP65" s="109"/>
      <c r="CQ65" s="109"/>
      <c r="CR65" s="109"/>
      <c r="CS65" s="109"/>
      <c r="CT65" s="109"/>
      <c r="CU65" s="109"/>
      <c r="CV65" s="109"/>
      <c r="CW65" s="21"/>
      <c r="CX65" s="109"/>
      <c r="CY65" s="109"/>
      <c r="CZ65" s="109"/>
      <c r="DA65" s="109"/>
      <c r="DB65" s="109"/>
      <c r="DC65" s="109"/>
      <c r="DD65" s="109"/>
      <c r="DE65" s="109"/>
      <c r="DF65" s="109"/>
      <c r="DG65" s="109"/>
      <c r="DH65" s="109"/>
      <c r="DI65" s="109"/>
      <c r="DJ65" s="109"/>
      <c r="DK65" s="109"/>
      <c r="DL65" s="109"/>
      <c r="DM65" s="109"/>
      <c r="DN65" s="109"/>
      <c r="DO65" s="109"/>
      <c r="DP65" s="109"/>
    </row>
  </sheetData>
  <mergeCells count="246">
    <mergeCell ref="F1:AH1"/>
    <mergeCell ref="BB1:BH1"/>
    <mergeCell ref="BN1:CP1"/>
    <mergeCell ref="DJ1:DP1"/>
    <mergeCell ref="F2:AH2"/>
    <mergeCell ref="BB2:BH2"/>
    <mergeCell ref="BN2:CP2"/>
    <mergeCell ref="DJ2:DP2"/>
    <mergeCell ref="C9:D9"/>
    <mergeCell ref="E9:BG9"/>
    <mergeCell ref="E6:BG7"/>
    <mergeCell ref="BL6:CG6"/>
    <mergeCell ref="CI7:CL7"/>
    <mergeCell ref="F3:AH3"/>
    <mergeCell ref="BN3:CP3"/>
    <mergeCell ref="C5:D5"/>
    <mergeCell ref="E5:BG5"/>
    <mergeCell ref="BJ5:BK5"/>
    <mergeCell ref="BL5:DN5"/>
    <mergeCell ref="H13:BG13"/>
    <mergeCell ref="BO13:BZ13"/>
    <mergeCell ref="CA13:CI13"/>
    <mergeCell ref="CJ13:CR13"/>
    <mergeCell ref="CS13:DA13"/>
    <mergeCell ref="DB13:DN13"/>
    <mergeCell ref="E10:G10"/>
    <mergeCell ref="H10:BG10"/>
    <mergeCell ref="H11:BG11"/>
    <mergeCell ref="BJ11:BK11"/>
    <mergeCell ref="BL11:DN11"/>
    <mergeCell ref="E12:G12"/>
    <mergeCell ref="H12:BG12"/>
    <mergeCell ref="BL12:BN12"/>
    <mergeCell ref="CQ12:DN12"/>
    <mergeCell ref="DB14:DN14"/>
    <mergeCell ref="BO15:BZ15"/>
    <mergeCell ref="CA15:CI15"/>
    <mergeCell ref="CJ15:CR15"/>
    <mergeCell ref="CS15:DA15"/>
    <mergeCell ref="DB15:DN15"/>
    <mergeCell ref="C14:D15"/>
    <mergeCell ref="E14:BG15"/>
    <mergeCell ref="BO14:BZ14"/>
    <mergeCell ref="CA14:CI14"/>
    <mergeCell ref="CJ14:CR14"/>
    <mergeCell ref="CS14:DA14"/>
    <mergeCell ref="BO16:BZ16"/>
    <mergeCell ref="CA16:CI16"/>
    <mergeCell ref="CJ16:CR16"/>
    <mergeCell ref="CS16:DA16"/>
    <mergeCell ref="DB16:DN16"/>
    <mergeCell ref="BO17:BZ17"/>
    <mergeCell ref="CA17:CI17"/>
    <mergeCell ref="CJ17:CR17"/>
    <mergeCell ref="CS17:DA17"/>
    <mergeCell ref="DB17:DN17"/>
    <mergeCell ref="BO18:BZ18"/>
    <mergeCell ref="CA18:CI18"/>
    <mergeCell ref="CJ18:CR18"/>
    <mergeCell ref="CS18:DA18"/>
    <mergeCell ref="DB18:DN18"/>
    <mergeCell ref="BO19:BZ19"/>
    <mergeCell ref="CA19:CI19"/>
    <mergeCell ref="CJ19:CR19"/>
    <mergeCell ref="CS19:DA19"/>
    <mergeCell ref="DB19:DN19"/>
    <mergeCell ref="BO20:BZ20"/>
    <mergeCell ref="CA20:CI20"/>
    <mergeCell ref="CJ20:CR20"/>
    <mergeCell ref="CS20:DA20"/>
    <mergeCell ref="DB20:DN20"/>
    <mergeCell ref="BO21:BZ21"/>
    <mergeCell ref="CA21:CI21"/>
    <mergeCell ref="CJ21:CR21"/>
    <mergeCell ref="CS21:DA21"/>
    <mergeCell ref="DB21:DN21"/>
    <mergeCell ref="BO24:DA24"/>
    <mergeCell ref="DB24:DN24"/>
    <mergeCell ref="BO25:DA25"/>
    <mergeCell ref="DB25:DN25"/>
    <mergeCell ref="BL26:BN26"/>
    <mergeCell ref="BO26:DN26"/>
    <mergeCell ref="BO22:BZ22"/>
    <mergeCell ref="CA22:CI22"/>
    <mergeCell ref="CJ22:CR22"/>
    <mergeCell ref="CS22:DA22"/>
    <mergeCell ref="DB22:DN22"/>
    <mergeCell ref="BO23:BZ23"/>
    <mergeCell ref="CA23:CI23"/>
    <mergeCell ref="CJ23:CR23"/>
    <mergeCell ref="CS23:DA23"/>
    <mergeCell ref="DB23:DN23"/>
    <mergeCell ref="DA27:DN27"/>
    <mergeCell ref="BO28:CB28"/>
    <mergeCell ref="CC28:CJ28"/>
    <mergeCell ref="CK28:CR28"/>
    <mergeCell ref="CS28:CZ28"/>
    <mergeCell ref="DA28:DN28"/>
    <mergeCell ref="C27:D28"/>
    <mergeCell ref="E27:BG28"/>
    <mergeCell ref="BO27:CB27"/>
    <mergeCell ref="CC27:CJ27"/>
    <mergeCell ref="CK27:CR27"/>
    <mergeCell ref="CS27:CZ27"/>
    <mergeCell ref="BO29:CB29"/>
    <mergeCell ref="CC29:CJ29"/>
    <mergeCell ref="CK29:CR29"/>
    <mergeCell ref="CS29:CZ29"/>
    <mergeCell ref="DA29:DN29"/>
    <mergeCell ref="BO30:CB30"/>
    <mergeCell ref="CC30:CJ30"/>
    <mergeCell ref="CK30:CR30"/>
    <mergeCell ref="CS30:CZ30"/>
    <mergeCell ref="DA30:DN30"/>
    <mergeCell ref="BO31:CB31"/>
    <mergeCell ref="CC31:CJ31"/>
    <mergeCell ref="CK31:CR31"/>
    <mergeCell ref="CS31:CZ31"/>
    <mergeCell ref="DA31:DN31"/>
    <mergeCell ref="BO32:CB32"/>
    <mergeCell ref="CC32:CJ32"/>
    <mergeCell ref="CK32:CR32"/>
    <mergeCell ref="CS32:CZ32"/>
    <mergeCell ref="DA32:DN32"/>
    <mergeCell ref="BL37:BN37"/>
    <mergeCell ref="BO37:DN37"/>
    <mergeCell ref="BO38:DN38"/>
    <mergeCell ref="CB39:CG39"/>
    <mergeCell ref="BL41:BN41"/>
    <mergeCell ref="BO41:DN41"/>
    <mergeCell ref="BO33:CB33"/>
    <mergeCell ref="CC33:CJ33"/>
    <mergeCell ref="CK33:CR33"/>
    <mergeCell ref="CS33:CZ33"/>
    <mergeCell ref="DA33:DN33"/>
    <mergeCell ref="BO34:CB34"/>
    <mergeCell ref="CC34:CJ34"/>
    <mergeCell ref="CK34:CR34"/>
    <mergeCell ref="CS34:CZ34"/>
    <mergeCell ref="DA34:DN34"/>
    <mergeCell ref="BO42:DN42"/>
    <mergeCell ref="BU43:BZ43"/>
    <mergeCell ref="C43:D43"/>
    <mergeCell ref="E43:BG43"/>
    <mergeCell ref="E44:BG49"/>
    <mergeCell ref="BJ45:BK45"/>
    <mergeCell ref="BL45:DN45"/>
    <mergeCell ref="BL46:CF46"/>
    <mergeCell ref="CG46:DN46"/>
    <mergeCell ref="BL47:CF47"/>
    <mergeCell ref="BL53:CF53"/>
    <mergeCell ref="CG53:DN53"/>
    <mergeCell ref="E50:R50"/>
    <mergeCell ref="S50:AJ50"/>
    <mergeCell ref="AK50:AQ50"/>
    <mergeCell ref="AR50:AX50"/>
    <mergeCell ref="AY50:BG50"/>
    <mergeCell ref="BL51:CF51"/>
    <mergeCell ref="CG47:DN47"/>
    <mergeCell ref="BL48:CF48"/>
    <mergeCell ref="CG48:DN48"/>
    <mergeCell ref="BL49:CF49"/>
    <mergeCell ref="CG49:DN49"/>
    <mergeCell ref="BL50:CF50"/>
    <mergeCell ref="CG50:DN50"/>
    <mergeCell ref="B63:T65"/>
    <mergeCell ref="V63:AN65"/>
    <mergeCell ref="AP63:BH65"/>
    <mergeCell ref="BJ63:CB65"/>
    <mergeCell ref="CD63:CV65"/>
    <mergeCell ref="BL62:BT62"/>
    <mergeCell ref="E59:R59"/>
    <mergeCell ref="S59:AJ59"/>
    <mergeCell ref="AK59:AQ59"/>
    <mergeCell ref="AR59:AX59"/>
    <mergeCell ref="BL59:DN61"/>
    <mergeCell ref="CX63:DP65"/>
    <mergeCell ref="BZ7:CF7"/>
    <mergeCell ref="BZ8:CF8"/>
    <mergeCell ref="BL7:BY8"/>
    <mergeCell ref="CM7:DN7"/>
    <mergeCell ref="CM8:DN8"/>
    <mergeCell ref="CM9:DN9"/>
    <mergeCell ref="CM10:DN10"/>
    <mergeCell ref="BO12:CP12"/>
    <mergeCell ref="BU62:CC62"/>
    <mergeCell ref="CD62:CO62"/>
    <mergeCell ref="BL57:CF57"/>
    <mergeCell ref="CG57:DN57"/>
    <mergeCell ref="BL58:CF58"/>
    <mergeCell ref="CG58:DN58"/>
    <mergeCell ref="CG54:DN54"/>
    <mergeCell ref="BL55:CF55"/>
    <mergeCell ref="CG55:DN55"/>
    <mergeCell ref="BL56:CF56"/>
    <mergeCell ref="CG56:DN56"/>
    <mergeCell ref="BL54:CF54"/>
    <mergeCell ref="CG51:DN51"/>
    <mergeCell ref="BL52:CF52"/>
    <mergeCell ref="CG52:DN52"/>
    <mergeCell ref="AR56:AX56"/>
    <mergeCell ref="AY56:BG56"/>
    <mergeCell ref="AY53:BG53"/>
    <mergeCell ref="E54:R54"/>
    <mergeCell ref="S54:AJ54"/>
    <mergeCell ref="AK54:AQ54"/>
    <mergeCell ref="AR54:AX54"/>
    <mergeCell ref="AY54:BG54"/>
    <mergeCell ref="E51:R51"/>
    <mergeCell ref="S51:AJ51"/>
    <mergeCell ref="AK51:AQ51"/>
    <mergeCell ref="AR51:AX51"/>
    <mergeCell ref="AY51:BG51"/>
    <mergeCell ref="E52:R52"/>
    <mergeCell ref="S52:AJ52"/>
    <mergeCell ref="AK52:AQ52"/>
    <mergeCell ref="AR52:AX52"/>
    <mergeCell ref="AY52:BG52"/>
    <mergeCell ref="E53:R53"/>
    <mergeCell ref="S53:AJ53"/>
    <mergeCell ref="AK53:AQ53"/>
    <mergeCell ref="AR53:AX53"/>
    <mergeCell ref="BO35:CB35"/>
    <mergeCell ref="CC35:CJ35"/>
    <mergeCell ref="CK35:CR35"/>
    <mergeCell ref="CS35:CZ35"/>
    <mergeCell ref="DA35:DN35"/>
    <mergeCell ref="AY59:BG59"/>
    <mergeCell ref="E57:R57"/>
    <mergeCell ref="S57:AJ57"/>
    <mergeCell ref="AK57:AQ57"/>
    <mergeCell ref="AR57:AX57"/>
    <mergeCell ref="AY57:BG57"/>
    <mergeCell ref="E58:R58"/>
    <mergeCell ref="S58:AJ58"/>
    <mergeCell ref="AK58:AQ58"/>
    <mergeCell ref="AR58:AX58"/>
    <mergeCell ref="AY58:BG58"/>
    <mergeCell ref="E55:R55"/>
    <mergeCell ref="S55:AJ55"/>
    <mergeCell ref="AK55:AQ55"/>
    <mergeCell ref="AR55:AX55"/>
    <mergeCell ref="AY55:BG55"/>
    <mergeCell ref="E56:R56"/>
    <mergeCell ref="S56:AJ56"/>
    <mergeCell ref="AK56:AQ56"/>
  </mergeCells>
  <printOptions horizontalCentered="1"/>
  <pageMargins left="0.86614173228346458" right="0.6692913385826772" top="0.47244094488188981" bottom="0.19685039370078741"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Moisture Content</vt:lpstr>
      <vt:lpstr>Ash Content</vt:lpstr>
      <vt:lpstr>Volatile Matter</vt:lpstr>
      <vt:lpstr>Gross Calorific 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Ikram</dc:creator>
  <cp:lastModifiedBy>Ikram</cp:lastModifiedBy>
  <cp:lastPrinted>2026-03-12T11:26:23Z</cp:lastPrinted>
  <dcterms:created xsi:type="dcterms:W3CDTF">2026-03-09T06:53:32Z</dcterms:created>
  <dcterms:modified xsi:type="dcterms:W3CDTF">2026-03-12T11:26:48Z</dcterms:modified>
</cp:coreProperties>
</file>
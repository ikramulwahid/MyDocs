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kram\Desktop\"/>
    </mc:Choice>
  </mc:AlternateContent>
  <xr:revisionPtr revIDLastSave="0" documentId="13_ncr:1_{0AE3C361-A5BC-41FB-84B2-AE895C8E2022}" xr6:coauthVersionLast="47" xr6:coauthVersionMax="47" xr10:uidLastSave="{00000000-0000-0000-0000-000000000000}"/>
  <bookViews>
    <workbookView xWindow="-120" yWindow="-120" windowWidth="29040" windowHeight="15720" activeTab="1" xr2:uid="{51F2A6AC-2F4A-4EA1-AE7E-3123E47A0BCB}"/>
  </bookViews>
  <sheets>
    <sheet name="GCV" sheetId="1" r:id="rId1"/>
    <sheet name="Proxim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0" i="2" l="1"/>
  <c r="AY83" i="2"/>
  <c r="BB64" i="2"/>
  <c r="AS64" i="2"/>
  <c r="AX51" i="2"/>
  <c r="AX49" i="2"/>
  <c r="AX47" i="2"/>
  <c r="AX45" i="2"/>
  <c r="AA64" i="2" s="1"/>
  <c r="AX43" i="2"/>
  <c r="AX41" i="2"/>
  <c r="AJ62" i="2"/>
  <c r="AJ60" i="2"/>
  <c r="AM75" i="2" s="1"/>
  <c r="AJ58" i="2"/>
  <c r="AA62" i="2"/>
  <c r="AA60" i="2"/>
  <c r="AA58" i="2"/>
  <c r="R62" i="2"/>
  <c r="BB62" i="2" s="1"/>
  <c r="AM81" i="2" s="1"/>
  <c r="R60" i="2"/>
  <c r="BB60" i="2" s="1"/>
  <c r="AM77" i="2" s="1"/>
  <c r="BB58" i="2"/>
  <c r="AM73" i="2" s="1"/>
  <c r="R58" i="2"/>
  <c r="AA77" i="2"/>
  <c r="AA81" i="2" s="1"/>
  <c r="AA75" i="2"/>
  <c r="AA79" i="2" s="1"/>
  <c r="AA83" i="2" s="1"/>
  <c r="M103" i="2"/>
  <c r="C95" i="2"/>
  <c r="C88" i="2"/>
  <c r="C67" i="2"/>
  <c r="C37" i="2"/>
  <c r="C14" i="2"/>
  <c r="C7" i="2"/>
  <c r="C7" i="1"/>
  <c r="C14" i="1"/>
  <c r="C29" i="1"/>
  <c r="AI35" i="1"/>
  <c r="W37" i="1"/>
  <c r="AI37" i="1" s="1"/>
  <c r="W39" i="1"/>
  <c r="AI39" i="1" s="1"/>
  <c r="W41" i="1"/>
  <c r="AI41" i="1" s="1"/>
  <c r="W43" i="1"/>
  <c r="AI43" i="1" s="1"/>
  <c r="W45" i="1"/>
  <c r="AI45" i="1" s="1"/>
  <c r="C48" i="1"/>
  <c r="C57" i="1"/>
  <c r="C64" i="1"/>
  <c r="M72" i="1"/>
  <c r="AJ64" i="2" l="1"/>
  <c r="AM83" i="2" s="1"/>
  <c r="R64" i="2"/>
  <c r="AY75" i="2"/>
  <c r="AM79" i="2"/>
  <c r="AY79" i="2" s="1"/>
  <c r="AM71" i="2"/>
  <c r="AY71" i="2" s="1"/>
  <c r="AU35" i="1"/>
  <c r="AM54" i="1" s="1"/>
  <c r="BA54" i="1" s="1"/>
  <c r="BC35" i="1"/>
  <c r="AM52" i="1" l="1"/>
  <c r="BA52" i="1" s="1"/>
  <c r="E59" i="1" s="1"/>
</calcChain>
</file>

<file path=xl/sharedStrings.xml><?xml version="1.0" encoding="utf-8"?>
<sst xmlns="http://schemas.openxmlformats.org/spreadsheetml/2006/main" count="141" uniqueCount="73">
  <si>
    <r>
      <t xml:space="preserve">Page </t>
    </r>
    <r>
      <rPr>
        <b/>
        <sz val="10"/>
        <color theme="1"/>
        <rFont val="Aptos Narrow"/>
        <family val="2"/>
        <scheme val="minor"/>
      </rPr>
      <t>1</t>
    </r>
    <r>
      <rPr>
        <sz val="10"/>
        <color theme="1"/>
        <rFont val="Aptos Narrow"/>
        <family val="2"/>
        <scheme val="minor"/>
      </rPr>
      <t xml:space="preserve"> of </t>
    </r>
    <r>
      <rPr>
        <b/>
        <sz val="10"/>
        <color theme="1"/>
        <rFont val="Aptos Narrow"/>
        <family val="2"/>
        <scheme val="minor"/>
      </rPr>
      <t>1</t>
    </r>
  </si>
  <si>
    <r>
      <t xml:space="preserve">Document No.: </t>
    </r>
    <r>
      <rPr>
        <b/>
        <sz val="10"/>
        <color theme="1"/>
        <rFont val="Aptos Narrow"/>
        <family val="2"/>
        <scheme val="minor"/>
      </rPr>
      <t>SMJ/FRM/QCD/07</t>
    </r>
  </si>
  <si>
    <t>:</t>
  </si>
  <si>
    <t>Signature</t>
  </si>
  <si>
    <t>Seal</t>
  </si>
  <si>
    <t>Technical Manager</t>
  </si>
  <si>
    <t>Reviewed By</t>
  </si>
  <si>
    <t>Date</t>
  </si>
  <si>
    <t>Quality Manager</t>
  </si>
  <si>
    <t>Laboratory Head</t>
  </si>
  <si>
    <t>Prepared By</t>
  </si>
  <si>
    <t>Ownership &amp; Authorization</t>
  </si>
  <si>
    <t>Verification Statement</t>
  </si>
  <si>
    <t>Accuracy (Bias Study), BIAS</t>
  </si>
  <si>
    <t>Precision (Repeatability), %RDS</t>
  </si>
  <si>
    <t>Status</t>
  </si>
  <si>
    <t>Calculated Value</t>
  </si>
  <si>
    <t>Acceptance Criteria</t>
  </si>
  <si>
    <t>Method Verification</t>
  </si>
  <si>
    <t>Std. Dev. (SD)</t>
  </si>
  <si>
    <t>Mean GCV</t>
  </si>
  <si>
    <t>Measured GCV, cal/g</t>
  </si>
  <si>
    <t>Temp. rise, °C</t>
  </si>
  <si>
    <t>Sample wt., g</t>
  </si>
  <si>
    <t>Run</t>
  </si>
  <si>
    <t>6318 cal/°C</t>
  </si>
  <si>
    <t>Water Equivalent (W̄) :</t>
  </si>
  <si>
    <t>Experimental Data</t>
  </si>
  <si>
    <t>Reference Material</t>
  </si>
  <si>
    <t>b)  Single pan balance, 0.0001 g</t>
  </si>
  <si>
    <t>a)  Digital Bomb Calorimeter, 0.01 °C</t>
  </si>
  <si>
    <t>Instrument / Equipment</t>
  </si>
  <si>
    <t>Number of Replicates</t>
  </si>
  <si>
    <t>IS 1350 (Part 2) : 2022</t>
  </si>
  <si>
    <t>Standard Method</t>
  </si>
  <si>
    <t>SMJ26MVR001</t>
  </si>
  <si>
    <t>Report No.</t>
  </si>
  <si>
    <t>Details</t>
  </si>
  <si>
    <t>To verify the performance characteristics (repeatability, accuracy and measurement uncertainty) of the bomb calorimeter for determination of Gross Calorific Value (GCV), in accordance with ISO/IEC 17025 requirements.</t>
  </si>
  <si>
    <t>Objective</t>
  </si>
  <si>
    <r>
      <rPr>
        <b/>
        <sz val="14"/>
        <color theme="1"/>
        <rFont val="Aptos Narrow"/>
        <family val="2"/>
        <scheme val="minor"/>
      </rPr>
      <t>Method Verification Report</t>
    </r>
    <r>
      <rPr>
        <sz val="10"/>
        <color theme="1"/>
        <rFont val="Aptos Narrow"/>
        <family val="2"/>
        <scheme val="minor"/>
      </rPr>
      <t xml:space="preserve">
</t>
    </r>
    <r>
      <rPr>
        <sz val="12"/>
        <color theme="1"/>
        <rFont val="Aptos Narrow"/>
        <family val="2"/>
        <scheme val="minor"/>
      </rPr>
      <t>SMJ Sustainable Fuel Lab Pvt. Ltd.</t>
    </r>
  </si>
  <si>
    <t>SMJ26MVR002</t>
  </si>
  <si>
    <t>IS 1350 (Part 1) : 2025</t>
  </si>
  <si>
    <t>a)  Analytical Balance (0.0001 g)</t>
  </si>
  <si>
    <t>b)  Hot Air Oven (105–110°C)</t>
  </si>
  <si>
    <t>c)  Muffle Furnace (900 ±15°C)</t>
  </si>
  <si>
    <t>d)  Desiccator</t>
  </si>
  <si>
    <t>Coal CRM, GCV value: 5200 cal/g, uncertainty: 50</t>
  </si>
  <si>
    <r>
      <rPr>
        <b/>
        <sz val="10"/>
        <color theme="0"/>
        <rFont val="Aptos Narrow"/>
        <family val="2"/>
        <scheme val="minor"/>
      </rPr>
      <t xml:space="preserve">Coal CRM, </t>
    </r>
    <r>
      <rPr>
        <b/>
        <sz val="10"/>
        <color theme="1"/>
        <rFont val="Aptos Narrow"/>
        <family val="2"/>
        <scheme val="minor"/>
      </rPr>
      <t>Ash Content value: 14%, uncertainty: 0.2</t>
    </r>
  </si>
  <si>
    <r>
      <rPr>
        <b/>
        <sz val="10"/>
        <color theme="0"/>
        <rFont val="Aptos Narrow"/>
        <family val="2"/>
        <scheme val="minor"/>
      </rPr>
      <t xml:space="preserve">Coal CRM, </t>
    </r>
    <r>
      <rPr>
        <b/>
        <sz val="10"/>
        <color theme="1"/>
        <rFont val="Aptos Narrow"/>
        <family val="2"/>
        <scheme val="minor"/>
      </rPr>
      <t>Volatile Matter value: 41%, uncertainty: 0.5</t>
    </r>
  </si>
  <si>
    <t>Moisture (%)</t>
  </si>
  <si>
    <t>Ash Content (%)</t>
  </si>
  <si>
    <t>Volatile Matter (%)</t>
  </si>
  <si>
    <t>Fixed Carbon (%)</t>
  </si>
  <si>
    <t>Statistical Summary</t>
  </si>
  <si>
    <t>Parameter</t>
  </si>
  <si>
    <t>Mean (%)</t>
  </si>
  <si>
    <t>SD</t>
  </si>
  <si>
    <t>%RSD</t>
  </si>
  <si>
    <t>% Bias</t>
  </si>
  <si>
    <t>Certified Value</t>
  </si>
  <si>
    <t xml:space="preserve"> Moisture</t>
  </si>
  <si>
    <t xml:space="preserve"> Ash Content</t>
  </si>
  <si>
    <t xml:space="preserve"> Volatile Matter</t>
  </si>
  <si>
    <t xml:space="preserve"> Fixed Carbon</t>
  </si>
  <si>
    <t>Coal CRM, Moisture value: 42.1%, uncertainty: 0.45</t>
  </si>
  <si>
    <t>Fixed Carbon*</t>
  </si>
  <si>
    <t>Precision (%RSD)</t>
  </si>
  <si>
    <t>Accuracy (% Bias)</t>
  </si>
  <si>
    <t>Verification Type</t>
  </si>
  <si>
    <t>≤ 2%</t>
  </si>
  <si>
    <t>±5%</t>
  </si>
  <si>
    <t>*Fixed Carbon is calculated by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</si>
</sst>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000"/>
    <numFmt numFmtId="166" formatCode="0.0000"/>
  </numFmts>
  <fonts count="8" x14ac:knownFonts="1">
    <font>
      <sz val="11"/>
      <color theme="1"/>
      <name val="Aptos Narrow"/>
      <family val="2"/>
      <scheme val="minor"/>
    </font>
    <font>
      <sz val="10"/>
      <color theme="1"/>
      <name val="Aptos Narrow"/>
      <family val="2"/>
      <scheme val="minor"/>
    </font>
    <font>
      <b/>
      <sz val="10"/>
      <color theme="1"/>
      <name val="Aptos Narrow"/>
      <family val="2"/>
      <scheme val="minor"/>
    </font>
    <font>
      <b/>
      <sz val="14"/>
      <color theme="1"/>
      <name val="Aptos Narrow"/>
      <family val="2"/>
      <scheme val="minor"/>
    </font>
    <font>
      <sz val="12"/>
      <color theme="1"/>
      <name val="Aptos Narrow"/>
      <family val="2"/>
      <scheme val="minor"/>
    </font>
    <font>
      <sz val="8"/>
      <name val="Aptos Narrow"/>
      <family val="2"/>
      <scheme val="minor"/>
    </font>
    <font>
      <b/>
      <sz val="10"/>
      <color theme="0"/>
      <name val="Aptos Narrow"/>
      <family val="2"/>
      <scheme val="minor"/>
    </font>
    <font>
      <sz val="9"/>
      <color theme="1"/>
      <name val="Aptos Narrow"/>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4">
    <xf numFmtId="0" fontId="0" fillId="0" borderId="0" xfId="0"/>
    <xf numFmtId="0" fontId="1" fillId="0" borderId="0" xfId="0" applyFont="1"/>
    <xf numFmtId="0" fontId="1" fillId="0" borderId="1" xfId="0" applyFont="1" applyBorder="1"/>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right" vertical="top"/>
    </xf>
    <xf numFmtId="0" fontId="2" fillId="0" borderId="0" xfId="0" applyFont="1" applyAlignment="1">
      <alignment horizontal="left"/>
    </xf>
    <xf numFmtId="0" fontId="1" fillId="0" borderId="0" xfId="0" applyFont="1" applyAlignment="1">
      <alignment horizontal="justify" vertical="top"/>
    </xf>
    <xf numFmtId="164" fontId="2" fillId="0" borderId="0" xfId="0" applyNumberFormat="1" applyFont="1" applyAlignment="1">
      <alignment horizontal="left"/>
    </xf>
    <xf numFmtId="0" fontId="2" fillId="2" borderId="2" xfId="0" applyFont="1" applyFill="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2" fontId="1" fillId="0" borderId="2" xfId="0" applyNumberFormat="1" applyFont="1" applyBorder="1" applyAlignment="1">
      <alignment horizontal="center" vertical="center"/>
    </xf>
    <xf numFmtId="165" fontId="1" fillId="0" borderId="9"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8" xfId="0" applyNumberFormat="1" applyFont="1" applyBorder="1" applyAlignment="1">
      <alignment horizontal="center" vertical="center"/>
    </xf>
    <xf numFmtId="165" fontId="1" fillId="0" borderId="5" xfId="0" applyNumberFormat="1" applyFont="1" applyBorder="1" applyAlignment="1">
      <alignment horizontal="center" vertical="center"/>
    </xf>
    <xf numFmtId="165" fontId="1" fillId="0" borderId="4" xfId="0" applyNumberFormat="1" applyFont="1" applyBorder="1" applyAlignment="1">
      <alignment horizontal="center" vertical="center"/>
    </xf>
    <xf numFmtId="165" fontId="1" fillId="0" borderId="3" xfId="0" applyNumberFormat="1" applyFont="1" applyBorder="1" applyAlignment="1">
      <alignment horizontal="center" vertical="center"/>
    </xf>
    <xf numFmtId="2" fontId="1" fillId="0" borderId="9" xfId="0" applyNumberFormat="1" applyFont="1" applyBorder="1" applyAlignment="1">
      <alignment horizontal="center" vertical="center"/>
    </xf>
    <xf numFmtId="2" fontId="1" fillId="0" borderId="1" xfId="0" applyNumberFormat="1" applyFont="1" applyBorder="1" applyAlignment="1">
      <alignment horizontal="center" vertical="center"/>
    </xf>
    <xf numFmtId="2" fontId="1" fillId="0" borderId="8" xfId="0" applyNumberFormat="1" applyFont="1" applyBorder="1" applyAlignment="1">
      <alignment horizontal="center" vertical="center"/>
    </xf>
    <xf numFmtId="2" fontId="1" fillId="0" borderId="5" xfId="0" applyNumberFormat="1" applyFont="1" applyBorder="1" applyAlignment="1">
      <alignment horizontal="center" vertical="center"/>
    </xf>
    <xf numFmtId="2" fontId="1" fillId="0" borderId="4" xfId="0" applyNumberFormat="1" applyFont="1" applyBorder="1" applyAlignment="1">
      <alignment horizontal="center" vertical="center"/>
    </xf>
    <xf numFmtId="2" fontId="1" fillId="0" borderId="3" xfId="0" applyNumberFormat="1" applyFont="1" applyBorder="1" applyAlignment="1">
      <alignment horizontal="center" vertical="center"/>
    </xf>
    <xf numFmtId="166" fontId="1" fillId="0" borderId="9" xfId="0" applyNumberFormat="1" applyFont="1" applyBorder="1" applyAlignment="1">
      <alignment horizontal="center" vertical="center"/>
    </xf>
    <xf numFmtId="166" fontId="1" fillId="0" borderId="1" xfId="0" applyNumberFormat="1" applyFont="1" applyBorder="1" applyAlignment="1">
      <alignment horizontal="center" vertical="center"/>
    </xf>
    <xf numFmtId="166" fontId="1" fillId="0" borderId="8" xfId="0" applyNumberFormat="1" applyFont="1" applyBorder="1" applyAlignment="1">
      <alignment horizontal="center" vertical="center"/>
    </xf>
    <xf numFmtId="166" fontId="1" fillId="0" borderId="5" xfId="0" applyNumberFormat="1" applyFont="1" applyBorder="1" applyAlignment="1">
      <alignment horizontal="center" vertical="center"/>
    </xf>
    <xf numFmtId="166" fontId="1" fillId="0" borderId="4" xfId="0" applyNumberFormat="1" applyFont="1" applyBorder="1" applyAlignment="1">
      <alignment horizontal="center" vertical="center"/>
    </xf>
    <xf numFmtId="166" fontId="1" fillId="0" borderId="3" xfId="0" applyNumberFormat="1" applyFont="1" applyBorder="1" applyAlignment="1">
      <alignment horizontal="center" vertical="center"/>
    </xf>
    <xf numFmtId="2" fontId="1" fillId="0" borderId="7" xfId="0" applyNumberFormat="1" applyFont="1" applyBorder="1" applyAlignment="1">
      <alignment horizontal="center" vertical="center"/>
    </xf>
    <xf numFmtId="2" fontId="1" fillId="0" borderId="0" xfId="0" applyNumberFormat="1" applyFont="1" applyAlignment="1">
      <alignment horizontal="center" vertical="center"/>
    </xf>
    <xf numFmtId="2" fontId="1" fillId="0" borderId="6" xfId="0" applyNumberFormat="1" applyFont="1" applyBorder="1" applyAlignment="1">
      <alignment horizontal="center" vertical="center"/>
    </xf>
    <xf numFmtId="165" fontId="1" fillId="0" borderId="7" xfId="0" applyNumberFormat="1" applyFont="1" applyBorder="1" applyAlignment="1">
      <alignment horizontal="center" vertical="center"/>
    </xf>
    <xf numFmtId="165" fontId="1" fillId="0" borderId="0" xfId="0" applyNumberFormat="1" applyFont="1" applyAlignment="1">
      <alignment horizontal="center" vertical="center"/>
    </xf>
    <xf numFmtId="165" fontId="1" fillId="0" borderId="6" xfId="0" applyNumberFormat="1" applyFont="1" applyBorder="1" applyAlignment="1">
      <alignment horizontal="center" vertical="center"/>
    </xf>
    <xf numFmtId="0" fontId="1" fillId="0" borderId="0" xfId="0" applyFont="1" applyAlignment="1">
      <alignment horizontal="right"/>
    </xf>
    <xf numFmtId="0" fontId="1" fillId="0" borderId="4" xfId="0" applyFont="1" applyBorder="1" applyAlignment="1">
      <alignment horizontal="right"/>
    </xf>
    <xf numFmtId="0" fontId="2" fillId="0" borderId="4" xfId="0" applyFont="1" applyBorder="1" applyAlignment="1">
      <alignment horizontal="left"/>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wrapText="1"/>
    </xf>
    <xf numFmtId="0" fontId="1" fillId="0" borderId="1" xfId="0" applyFont="1" applyBorder="1" applyAlignment="1">
      <alignment horizontal="left" indent="1"/>
    </xf>
    <xf numFmtId="0" fontId="1" fillId="0" borderId="0" xfId="0" applyFont="1" applyAlignment="1">
      <alignment horizontal="left" indent="1"/>
    </xf>
    <xf numFmtId="0" fontId="1" fillId="0" borderId="1" xfId="0" applyFont="1" applyBorder="1" applyAlignment="1">
      <alignment horizontal="right" indent="1"/>
    </xf>
    <xf numFmtId="0" fontId="1" fillId="0" borderId="0" xfId="0" applyFont="1" applyAlignment="1">
      <alignment horizontal="right" indent="1"/>
    </xf>
    <xf numFmtId="0" fontId="1" fillId="0" borderId="0" xfId="0" applyFont="1" applyAlignment="1">
      <alignment horizontal="justify" vertical="top" wrapText="1"/>
    </xf>
    <xf numFmtId="0" fontId="1" fillId="0" borderId="2" xfId="0" applyFont="1" applyBorder="1" applyAlignment="1"/>
    <xf numFmtId="2" fontId="1" fillId="0" borderId="2" xfId="0" applyNumberFormat="1" applyFont="1" applyBorder="1" applyAlignment="1">
      <alignment horizontal="center"/>
    </xf>
    <xf numFmtId="165" fontId="1" fillId="0" borderId="2" xfId="0" applyNumberFormat="1" applyFont="1" applyBorder="1" applyAlignment="1">
      <alignment horizontal="center"/>
    </xf>
    <xf numFmtId="0" fontId="1" fillId="0" borderId="2" xfId="0" applyFont="1" applyBorder="1" applyAlignment="1">
      <alignment horizontal="center"/>
    </xf>
    <xf numFmtId="0" fontId="2" fillId="2" borderId="2" xfId="0" applyFont="1" applyFill="1" applyBorder="1" applyAlignment="1">
      <alignment horizontal="center"/>
    </xf>
    <xf numFmtId="0" fontId="1" fillId="0" borderId="0" xfId="0" applyFont="1" applyAlignment="1"/>
    <xf numFmtId="0" fontId="2" fillId="2" borderId="9" xfId="0" applyFont="1" applyFill="1" applyBorder="1" applyAlignment="1">
      <alignment horizontal="center"/>
    </xf>
    <xf numFmtId="0" fontId="2" fillId="2" borderId="1" xfId="0" applyFont="1" applyFill="1" applyBorder="1" applyAlignment="1">
      <alignment horizontal="center"/>
    </xf>
    <xf numFmtId="0" fontId="2" fillId="2" borderId="8" xfId="0" applyFont="1" applyFill="1" applyBorder="1" applyAlignment="1">
      <alignment horizontal="center"/>
    </xf>
    <xf numFmtId="0" fontId="2" fillId="2" borderId="5" xfId="0" applyFont="1" applyFill="1" applyBorder="1" applyAlignment="1">
      <alignment horizontal="center"/>
    </xf>
    <xf numFmtId="0" fontId="2" fillId="2" borderId="4" xfId="0" applyFont="1" applyFill="1" applyBorder="1" applyAlignment="1">
      <alignment horizontal="center"/>
    </xf>
    <xf numFmtId="0" fontId="2" fillId="2" borderId="3" xfId="0" applyFont="1" applyFill="1" applyBorder="1" applyAlignment="1">
      <alignment horizontal="center"/>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lignment horizontal="left" vertical="top"/>
    </xf>
    <xf numFmtId="0" fontId="7" fillId="0" borderId="0" xfId="0" applyFont="1" applyAlignment="1">
      <alignment horizontal="left" vertical="top"/>
    </xf>
    <xf numFmtId="0" fontId="2" fillId="0" borderId="2" xfId="0" applyFont="1" applyBorder="1" applyAlignment="1">
      <alignment horizont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9333-38C4-4B03-A0CD-947E0BA0590D}">
  <dimension ref="A1:BK110"/>
  <sheetViews>
    <sheetView zoomScaleNormal="100" workbookViewId="0">
      <selection activeCell="Y54" sqref="Y54:AL55"/>
    </sheetView>
  </sheetViews>
  <sheetFormatPr defaultRowHeight="13.5" x14ac:dyDescent="0.25"/>
  <cols>
    <col min="1" max="63" width="1.42578125" style="1" customWidth="1"/>
    <col min="64" max="16384" width="9.140625" style="1"/>
  </cols>
  <sheetData>
    <row r="1" spans="1:63" ht="6.95" customHeight="1" x14ac:dyDescent="0.25">
      <c r="A1" s="55" t="s">
        <v>40</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row>
    <row r="2" spans="1:63" ht="6.95" customHeight="1" x14ac:dyDescent="0.25">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row>
    <row r="3" spans="1:63" ht="6.95" customHeight="1"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row>
    <row r="4" spans="1:63" ht="6.95" customHeigh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row>
    <row r="5" spans="1:63" ht="6.95" customHeight="1"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row>
    <row r="6" spans="1:63" ht="6.95" customHeight="1" x14ac:dyDescent="0.25"/>
    <row r="7" spans="1:63" ht="6.95" customHeight="1" x14ac:dyDescent="0.25">
      <c r="C7" s="7" t="str">
        <f>"1."</f>
        <v>1.</v>
      </c>
      <c r="D7" s="7"/>
      <c r="E7" s="8" t="s">
        <v>39</v>
      </c>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row>
    <row r="8" spans="1:63" ht="6.95" customHeight="1" x14ac:dyDescent="0.25">
      <c r="C8" s="7"/>
      <c r="D8" s="7"/>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row>
    <row r="9" spans="1:63" ht="6.95" customHeight="1" x14ac:dyDescent="0.25">
      <c r="E9" s="60" t="s">
        <v>38</v>
      </c>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row>
    <row r="10" spans="1:63" ht="6.95" customHeight="1" x14ac:dyDescent="0.25">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row>
    <row r="11" spans="1:63" ht="6.95" customHeight="1" x14ac:dyDescent="0.25">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3" ht="6.95" customHeight="1" x14ac:dyDescent="0.25">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3" ht="6.95" customHeight="1" x14ac:dyDescent="0.25"/>
    <row r="14" spans="1:63" ht="6.95" customHeight="1" x14ac:dyDescent="0.25">
      <c r="C14" s="7" t="str">
        <f>"2."</f>
        <v>2.</v>
      </c>
      <c r="D14" s="7"/>
      <c r="E14" s="8" t="s">
        <v>37</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row>
    <row r="15" spans="1:63" ht="6.95" customHeight="1" x14ac:dyDescent="0.25">
      <c r="C15" s="7"/>
      <c r="D15" s="7"/>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row>
    <row r="16" spans="1:63" ht="6.95" customHeight="1" x14ac:dyDescent="0.25">
      <c r="E16" s="5" t="s">
        <v>36</v>
      </c>
      <c r="F16" s="5"/>
      <c r="G16" s="5"/>
      <c r="H16" s="5"/>
      <c r="I16" s="5"/>
      <c r="J16" s="5"/>
      <c r="K16" s="5"/>
      <c r="L16" s="5"/>
      <c r="M16" s="5"/>
      <c r="N16" s="5"/>
      <c r="O16" s="5"/>
      <c r="P16" s="5"/>
      <c r="Q16" s="5"/>
      <c r="R16" s="6" t="s">
        <v>2</v>
      </c>
      <c r="S16" s="8" t="s">
        <v>35</v>
      </c>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row>
    <row r="17" spans="3:62" ht="6.95" customHeight="1" x14ac:dyDescent="0.25">
      <c r="E17" s="5"/>
      <c r="F17" s="5"/>
      <c r="G17" s="5"/>
      <c r="H17" s="5"/>
      <c r="I17" s="5"/>
      <c r="J17" s="5"/>
      <c r="K17" s="5"/>
      <c r="L17" s="5"/>
      <c r="M17" s="5"/>
      <c r="N17" s="5"/>
      <c r="O17" s="5"/>
      <c r="P17" s="5"/>
      <c r="Q17" s="5"/>
      <c r="R17" s="6"/>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row>
    <row r="18" spans="3:62" ht="6.95" customHeight="1" x14ac:dyDescent="0.25">
      <c r="E18" s="5" t="s">
        <v>34</v>
      </c>
      <c r="F18" s="5"/>
      <c r="G18" s="5"/>
      <c r="H18" s="5"/>
      <c r="I18" s="5"/>
      <c r="J18" s="5"/>
      <c r="K18" s="5"/>
      <c r="L18" s="5"/>
      <c r="M18" s="5"/>
      <c r="N18" s="5"/>
      <c r="O18" s="5"/>
      <c r="P18" s="5"/>
      <c r="Q18" s="5"/>
      <c r="R18" s="6" t="s">
        <v>2</v>
      </c>
      <c r="S18" s="8" t="s">
        <v>33</v>
      </c>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row>
    <row r="19" spans="3:62" ht="6.95" customHeight="1" x14ac:dyDescent="0.25">
      <c r="E19" s="5"/>
      <c r="F19" s="5"/>
      <c r="G19" s="5"/>
      <c r="H19" s="5"/>
      <c r="I19" s="5"/>
      <c r="J19" s="5"/>
      <c r="K19" s="5"/>
      <c r="L19" s="5"/>
      <c r="M19" s="5"/>
      <c r="N19" s="5"/>
      <c r="O19" s="5"/>
      <c r="P19" s="5"/>
      <c r="Q19" s="5"/>
      <c r="R19" s="6"/>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3:62" ht="6.95" customHeight="1" x14ac:dyDescent="0.25">
      <c r="E20" s="5" t="s">
        <v>32</v>
      </c>
      <c r="F20" s="5"/>
      <c r="G20" s="5"/>
      <c r="H20" s="5"/>
      <c r="I20" s="5"/>
      <c r="J20" s="5"/>
      <c r="K20" s="5"/>
      <c r="L20" s="5"/>
      <c r="M20" s="5"/>
      <c r="N20" s="5"/>
      <c r="O20" s="5"/>
      <c r="P20" s="5"/>
      <c r="Q20" s="5"/>
      <c r="R20" s="6" t="s">
        <v>2</v>
      </c>
      <c r="S20" s="8">
        <v>6</v>
      </c>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3:62" ht="6.95" customHeight="1" x14ac:dyDescent="0.25">
      <c r="E21" s="5"/>
      <c r="F21" s="5"/>
      <c r="G21" s="5"/>
      <c r="H21" s="5"/>
      <c r="I21" s="5"/>
      <c r="J21" s="5"/>
      <c r="K21" s="5"/>
      <c r="L21" s="5"/>
      <c r="M21" s="5"/>
      <c r="N21" s="5"/>
      <c r="O21" s="5"/>
      <c r="P21" s="5"/>
      <c r="Q21" s="5"/>
      <c r="R21" s="6"/>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3:62" ht="6.95" customHeight="1" x14ac:dyDescent="0.25">
      <c r="E22" s="5" t="s">
        <v>31</v>
      </c>
      <c r="F22" s="5"/>
      <c r="G22" s="5"/>
      <c r="H22" s="5"/>
      <c r="I22" s="5"/>
      <c r="J22" s="5"/>
      <c r="K22" s="5"/>
      <c r="L22" s="5"/>
      <c r="M22" s="5"/>
      <c r="N22" s="5"/>
      <c r="O22" s="5"/>
      <c r="P22" s="5"/>
      <c r="Q22" s="5"/>
      <c r="R22" s="6" t="s">
        <v>2</v>
      </c>
      <c r="S22" s="8" t="s">
        <v>30</v>
      </c>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3:62" ht="6.95" customHeight="1" x14ac:dyDescent="0.25">
      <c r="E23" s="5"/>
      <c r="F23" s="5"/>
      <c r="G23" s="5"/>
      <c r="H23" s="5"/>
      <c r="I23" s="5"/>
      <c r="J23" s="5"/>
      <c r="K23" s="5"/>
      <c r="L23" s="5"/>
      <c r="M23" s="5"/>
      <c r="N23" s="5"/>
      <c r="O23" s="5"/>
      <c r="P23" s="5"/>
      <c r="Q23" s="5"/>
      <c r="R23" s="6"/>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3:62" ht="6.95" customHeight="1" x14ac:dyDescent="0.25">
      <c r="S24" s="8" t="s">
        <v>29</v>
      </c>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3:62" ht="6.95" customHeight="1" x14ac:dyDescent="0.25">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3:62" ht="6.95" customHeight="1" x14ac:dyDescent="0.25">
      <c r="E26" s="5" t="s">
        <v>28</v>
      </c>
      <c r="F26" s="5"/>
      <c r="G26" s="5"/>
      <c r="H26" s="5"/>
      <c r="I26" s="5"/>
      <c r="J26" s="5"/>
      <c r="K26" s="5"/>
      <c r="L26" s="5"/>
      <c r="M26" s="5"/>
      <c r="N26" s="5"/>
      <c r="O26" s="5"/>
      <c r="P26" s="5"/>
      <c r="Q26" s="5"/>
      <c r="R26" s="6" t="s">
        <v>2</v>
      </c>
      <c r="S26" s="8" t="s">
        <v>47</v>
      </c>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3:62" ht="6.95" customHeight="1" x14ac:dyDescent="0.25">
      <c r="E27" s="5"/>
      <c r="F27" s="5"/>
      <c r="G27" s="5"/>
      <c r="H27" s="5"/>
      <c r="I27" s="5"/>
      <c r="J27" s="5"/>
      <c r="K27" s="5"/>
      <c r="L27" s="5"/>
      <c r="M27" s="5"/>
      <c r="N27" s="5"/>
      <c r="O27" s="5"/>
      <c r="P27" s="5"/>
      <c r="Q27" s="5"/>
      <c r="R27" s="6"/>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3:62" ht="6.95" customHeight="1" x14ac:dyDescent="0.25"/>
    <row r="29" spans="3:62" ht="6.95" customHeight="1" x14ac:dyDescent="0.25">
      <c r="C29" s="7" t="str">
        <f>"3."</f>
        <v>3.</v>
      </c>
      <c r="D29" s="7"/>
      <c r="E29" s="8" t="s">
        <v>27</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3:62" ht="6.95" customHeight="1" x14ac:dyDescent="0.25">
      <c r="C30" s="7"/>
      <c r="D30" s="7"/>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3:62" ht="6.95" customHeight="1" x14ac:dyDescent="0.25">
      <c r="E31" s="40" t="s">
        <v>26</v>
      </c>
      <c r="F31" s="40"/>
      <c r="G31" s="40"/>
      <c r="H31" s="40"/>
      <c r="I31" s="40"/>
      <c r="J31" s="40"/>
      <c r="K31" s="40"/>
      <c r="L31" s="40"/>
      <c r="M31" s="40"/>
      <c r="N31" s="40"/>
      <c r="O31" s="40"/>
      <c r="P31" s="40"/>
      <c r="Q31" s="8" t="s">
        <v>25</v>
      </c>
      <c r="R31" s="8"/>
      <c r="S31" s="8"/>
      <c r="T31" s="8"/>
      <c r="U31" s="8"/>
      <c r="V31" s="8"/>
      <c r="W31" s="8"/>
      <c r="X31" s="8"/>
      <c r="Y31" s="8"/>
      <c r="Z31" s="8"/>
    </row>
    <row r="32" spans="3:62" ht="6.95" customHeight="1" x14ac:dyDescent="0.25">
      <c r="E32" s="41"/>
      <c r="F32" s="41"/>
      <c r="G32" s="41"/>
      <c r="H32" s="41"/>
      <c r="I32" s="41"/>
      <c r="J32" s="41"/>
      <c r="K32" s="41"/>
      <c r="L32" s="41"/>
      <c r="M32" s="41"/>
      <c r="N32" s="41"/>
      <c r="O32" s="41"/>
      <c r="P32" s="41"/>
      <c r="Q32" s="42"/>
      <c r="R32" s="42"/>
      <c r="S32" s="42"/>
      <c r="T32" s="42"/>
      <c r="U32" s="42"/>
      <c r="V32" s="42"/>
      <c r="W32" s="42"/>
      <c r="X32" s="42"/>
      <c r="Y32" s="42"/>
      <c r="Z32" s="42"/>
    </row>
    <row r="33" spans="3:62" ht="6.95" customHeight="1" x14ac:dyDescent="0.25">
      <c r="E33" s="43" t="s">
        <v>24</v>
      </c>
      <c r="F33" s="44"/>
      <c r="G33" s="44"/>
      <c r="H33" s="44"/>
      <c r="I33" s="44"/>
      <c r="J33" s="45"/>
      <c r="K33" s="43" t="s">
        <v>23</v>
      </c>
      <c r="L33" s="44"/>
      <c r="M33" s="44"/>
      <c r="N33" s="44"/>
      <c r="O33" s="44"/>
      <c r="P33" s="44"/>
      <c r="Q33" s="44"/>
      <c r="R33" s="44"/>
      <c r="S33" s="44"/>
      <c r="T33" s="44"/>
      <c r="U33" s="44"/>
      <c r="V33" s="45"/>
      <c r="W33" s="43" t="s">
        <v>22</v>
      </c>
      <c r="X33" s="44"/>
      <c r="Y33" s="44"/>
      <c r="Z33" s="44"/>
      <c r="AA33" s="44"/>
      <c r="AB33" s="44"/>
      <c r="AC33" s="44"/>
      <c r="AD33" s="44"/>
      <c r="AE33" s="44"/>
      <c r="AF33" s="44"/>
      <c r="AG33" s="44"/>
      <c r="AH33" s="45"/>
      <c r="AI33" s="43" t="s">
        <v>21</v>
      </c>
      <c r="AJ33" s="44"/>
      <c r="AK33" s="44"/>
      <c r="AL33" s="44"/>
      <c r="AM33" s="44"/>
      <c r="AN33" s="44"/>
      <c r="AO33" s="44"/>
      <c r="AP33" s="44"/>
      <c r="AQ33" s="44"/>
      <c r="AR33" s="44"/>
      <c r="AS33" s="44"/>
      <c r="AT33" s="45"/>
      <c r="AU33" s="43" t="s">
        <v>20</v>
      </c>
      <c r="AV33" s="44"/>
      <c r="AW33" s="44"/>
      <c r="AX33" s="44"/>
      <c r="AY33" s="44"/>
      <c r="AZ33" s="44"/>
      <c r="BA33" s="44"/>
      <c r="BB33" s="45"/>
      <c r="BC33" s="43" t="s">
        <v>19</v>
      </c>
      <c r="BD33" s="44"/>
      <c r="BE33" s="44"/>
      <c r="BF33" s="44"/>
      <c r="BG33" s="44"/>
      <c r="BH33" s="44"/>
      <c r="BI33" s="44"/>
      <c r="BJ33" s="45"/>
    </row>
    <row r="34" spans="3:62" ht="6.95" customHeight="1" x14ac:dyDescent="0.25">
      <c r="E34" s="46"/>
      <c r="F34" s="47"/>
      <c r="G34" s="47"/>
      <c r="H34" s="47"/>
      <c r="I34" s="47"/>
      <c r="J34" s="48"/>
      <c r="K34" s="46"/>
      <c r="L34" s="47"/>
      <c r="M34" s="47"/>
      <c r="N34" s="47"/>
      <c r="O34" s="47"/>
      <c r="P34" s="47"/>
      <c r="Q34" s="47"/>
      <c r="R34" s="47"/>
      <c r="S34" s="47"/>
      <c r="T34" s="47"/>
      <c r="U34" s="47"/>
      <c r="V34" s="48"/>
      <c r="W34" s="46"/>
      <c r="X34" s="47"/>
      <c r="Y34" s="47"/>
      <c r="Z34" s="47"/>
      <c r="AA34" s="47"/>
      <c r="AB34" s="47"/>
      <c r="AC34" s="47"/>
      <c r="AD34" s="47"/>
      <c r="AE34" s="47"/>
      <c r="AF34" s="47"/>
      <c r="AG34" s="47"/>
      <c r="AH34" s="48"/>
      <c r="AI34" s="46"/>
      <c r="AJ34" s="47"/>
      <c r="AK34" s="47"/>
      <c r="AL34" s="47"/>
      <c r="AM34" s="47"/>
      <c r="AN34" s="47"/>
      <c r="AO34" s="47"/>
      <c r="AP34" s="47"/>
      <c r="AQ34" s="47"/>
      <c r="AR34" s="47"/>
      <c r="AS34" s="47"/>
      <c r="AT34" s="48"/>
      <c r="AU34" s="46"/>
      <c r="AV34" s="47"/>
      <c r="AW34" s="47"/>
      <c r="AX34" s="47"/>
      <c r="AY34" s="47"/>
      <c r="AZ34" s="47"/>
      <c r="BA34" s="47"/>
      <c r="BB34" s="48"/>
      <c r="BC34" s="46"/>
      <c r="BD34" s="47"/>
      <c r="BE34" s="47"/>
      <c r="BF34" s="47"/>
      <c r="BG34" s="47"/>
      <c r="BH34" s="47"/>
      <c r="BI34" s="47"/>
      <c r="BJ34" s="48"/>
    </row>
    <row r="35" spans="3:62" ht="6.95" customHeight="1" x14ac:dyDescent="0.25">
      <c r="E35" s="49">
        <v>1</v>
      </c>
      <c r="F35" s="50"/>
      <c r="G35" s="50"/>
      <c r="H35" s="50"/>
      <c r="I35" s="50"/>
      <c r="J35" s="51"/>
      <c r="K35" s="28">
        <v>1.0044999999999999</v>
      </c>
      <c r="L35" s="29"/>
      <c r="M35" s="29"/>
      <c r="N35" s="29"/>
      <c r="O35" s="29"/>
      <c r="P35" s="29"/>
      <c r="Q35" s="29"/>
      <c r="R35" s="29"/>
      <c r="S35" s="29"/>
      <c r="T35" s="29"/>
      <c r="U35" s="29"/>
      <c r="V35" s="30"/>
      <c r="W35" s="16">
        <v>0.83099999999999996</v>
      </c>
      <c r="X35" s="17"/>
      <c r="Y35" s="17"/>
      <c r="Z35" s="17"/>
      <c r="AA35" s="17"/>
      <c r="AB35" s="17"/>
      <c r="AC35" s="17"/>
      <c r="AD35" s="17"/>
      <c r="AE35" s="17"/>
      <c r="AF35" s="17"/>
      <c r="AG35" s="17"/>
      <c r="AH35" s="18"/>
      <c r="AI35" s="22">
        <f>ROUND((LEFT(Q$31,LEN(Q$31)-7)*W35-22.4)/K35,2)</f>
        <v>5204.4399999999996</v>
      </c>
      <c r="AJ35" s="23"/>
      <c r="AK35" s="23"/>
      <c r="AL35" s="23"/>
      <c r="AM35" s="23"/>
      <c r="AN35" s="23"/>
      <c r="AO35" s="23"/>
      <c r="AP35" s="23"/>
      <c r="AQ35" s="23"/>
      <c r="AR35" s="23"/>
      <c r="AS35" s="23"/>
      <c r="AT35" s="24"/>
      <c r="AU35" s="22">
        <f ca="1">ROUND(AVERAGE(AI35:AI46),2)</f>
        <v>5212.67</v>
      </c>
      <c r="AV35" s="23"/>
      <c r="AW35" s="23"/>
      <c r="AX35" s="23"/>
      <c r="AY35" s="23"/>
      <c r="AZ35" s="23"/>
      <c r="BA35" s="23"/>
      <c r="BB35" s="24"/>
      <c r="BC35" s="16">
        <f ca="1">ROUND(_xlfn.STDEV.S(AI35:AI46),3)</f>
        <v>43.664000000000001</v>
      </c>
      <c r="BD35" s="17"/>
      <c r="BE35" s="17"/>
      <c r="BF35" s="17"/>
      <c r="BG35" s="17"/>
      <c r="BH35" s="17"/>
      <c r="BI35" s="17"/>
      <c r="BJ35" s="18"/>
    </row>
    <row r="36" spans="3:62" ht="6.95" customHeight="1" x14ac:dyDescent="0.25">
      <c r="E36" s="52"/>
      <c r="F36" s="53"/>
      <c r="G36" s="53"/>
      <c r="H36" s="53"/>
      <c r="I36" s="53"/>
      <c r="J36" s="54"/>
      <c r="K36" s="31"/>
      <c r="L36" s="32"/>
      <c r="M36" s="32"/>
      <c r="N36" s="32"/>
      <c r="O36" s="32"/>
      <c r="P36" s="32"/>
      <c r="Q36" s="32"/>
      <c r="R36" s="32"/>
      <c r="S36" s="32"/>
      <c r="T36" s="32"/>
      <c r="U36" s="32"/>
      <c r="V36" s="33"/>
      <c r="W36" s="19"/>
      <c r="X36" s="20"/>
      <c r="Y36" s="20"/>
      <c r="Z36" s="20"/>
      <c r="AA36" s="20"/>
      <c r="AB36" s="20"/>
      <c r="AC36" s="20"/>
      <c r="AD36" s="20"/>
      <c r="AE36" s="20"/>
      <c r="AF36" s="20"/>
      <c r="AG36" s="20"/>
      <c r="AH36" s="21"/>
      <c r="AI36" s="25"/>
      <c r="AJ36" s="26"/>
      <c r="AK36" s="26"/>
      <c r="AL36" s="26"/>
      <c r="AM36" s="26"/>
      <c r="AN36" s="26"/>
      <c r="AO36" s="26"/>
      <c r="AP36" s="26"/>
      <c r="AQ36" s="26"/>
      <c r="AR36" s="26"/>
      <c r="AS36" s="26"/>
      <c r="AT36" s="27"/>
      <c r="AU36" s="34"/>
      <c r="AV36" s="35"/>
      <c r="AW36" s="35"/>
      <c r="AX36" s="35"/>
      <c r="AY36" s="35"/>
      <c r="AZ36" s="35"/>
      <c r="BA36" s="35"/>
      <c r="BB36" s="36"/>
      <c r="BC36" s="37"/>
      <c r="BD36" s="38"/>
      <c r="BE36" s="38"/>
      <c r="BF36" s="38"/>
      <c r="BG36" s="38"/>
      <c r="BH36" s="38"/>
      <c r="BI36" s="38"/>
      <c r="BJ36" s="39"/>
    </row>
    <row r="37" spans="3:62" ht="6.95" customHeight="1" x14ac:dyDescent="0.25">
      <c r="E37" s="49">
        <v>2</v>
      </c>
      <c r="F37" s="50"/>
      <c r="G37" s="50"/>
      <c r="H37" s="50"/>
      <c r="I37" s="50"/>
      <c r="J37" s="51"/>
      <c r="K37" s="28">
        <v>1.0011000000000001</v>
      </c>
      <c r="L37" s="29"/>
      <c r="M37" s="29"/>
      <c r="N37" s="29"/>
      <c r="O37" s="29"/>
      <c r="P37" s="29"/>
      <c r="Q37" s="29"/>
      <c r="R37" s="29"/>
      <c r="S37" s="29"/>
      <c r="T37" s="29"/>
      <c r="U37" s="29"/>
      <c r="V37" s="30"/>
      <c r="W37" s="16">
        <f ca="1">0.8+RANDBETWEEN(20,40)/1000</f>
        <v>0.82100000000000006</v>
      </c>
      <c r="X37" s="17"/>
      <c r="Y37" s="17"/>
      <c r="Z37" s="17"/>
      <c r="AA37" s="17"/>
      <c r="AB37" s="17"/>
      <c r="AC37" s="17"/>
      <c r="AD37" s="17"/>
      <c r="AE37" s="17"/>
      <c r="AF37" s="17"/>
      <c r="AG37" s="17"/>
      <c r="AH37" s="18"/>
      <c r="AI37" s="22">
        <f ca="1">ROUND((LEFT(Q$31,LEN(Q$31)-7)*W37-22.4)/K37,2)</f>
        <v>5159</v>
      </c>
      <c r="AJ37" s="23"/>
      <c r="AK37" s="23"/>
      <c r="AL37" s="23"/>
      <c r="AM37" s="23"/>
      <c r="AN37" s="23"/>
      <c r="AO37" s="23"/>
      <c r="AP37" s="23"/>
      <c r="AQ37" s="23"/>
      <c r="AR37" s="23"/>
      <c r="AS37" s="23"/>
      <c r="AT37" s="24"/>
      <c r="AU37" s="34"/>
      <c r="AV37" s="35"/>
      <c r="AW37" s="35"/>
      <c r="AX37" s="35"/>
      <c r="AY37" s="35"/>
      <c r="AZ37" s="35"/>
      <c r="BA37" s="35"/>
      <c r="BB37" s="36"/>
      <c r="BC37" s="37"/>
      <c r="BD37" s="38"/>
      <c r="BE37" s="38"/>
      <c r="BF37" s="38"/>
      <c r="BG37" s="38"/>
      <c r="BH37" s="38"/>
      <c r="BI37" s="38"/>
      <c r="BJ37" s="39"/>
    </row>
    <row r="38" spans="3:62" ht="6.95" customHeight="1" x14ac:dyDescent="0.25">
      <c r="E38" s="52"/>
      <c r="F38" s="53"/>
      <c r="G38" s="53"/>
      <c r="H38" s="53"/>
      <c r="I38" s="53"/>
      <c r="J38" s="54"/>
      <c r="K38" s="31"/>
      <c r="L38" s="32"/>
      <c r="M38" s="32"/>
      <c r="N38" s="32"/>
      <c r="O38" s="32"/>
      <c r="P38" s="32"/>
      <c r="Q38" s="32"/>
      <c r="R38" s="32"/>
      <c r="S38" s="32"/>
      <c r="T38" s="32"/>
      <c r="U38" s="32"/>
      <c r="V38" s="33"/>
      <c r="W38" s="19"/>
      <c r="X38" s="20"/>
      <c r="Y38" s="20"/>
      <c r="Z38" s="20"/>
      <c r="AA38" s="20"/>
      <c r="AB38" s="20"/>
      <c r="AC38" s="20"/>
      <c r="AD38" s="20"/>
      <c r="AE38" s="20"/>
      <c r="AF38" s="20"/>
      <c r="AG38" s="20"/>
      <c r="AH38" s="21"/>
      <c r="AI38" s="25"/>
      <c r="AJ38" s="26"/>
      <c r="AK38" s="26"/>
      <c r="AL38" s="26"/>
      <c r="AM38" s="26"/>
      <c r="AN38" s="26"/>
      <c r="AO38" s="26"/>
      <c r="AP38" s="26"/>
      <c r="AQ38" s="26"/>
      <c r="AR38" s="26"/>
      <c r="AS38" s="26"/>
      <c r="AT38" s="27"/>
      <c r="AU38" s="34"/>
      <c r="AV38" s="35"/>
      <c r="AW38" s="35"/>
      <c r="AX38" s="35"/>
      <c r="AY38" s="35"/>
      <c r="AZ38" s="35"/>
      <c r="BA38" s="35"/>
      <c r="BB38" s="36"/>
      <c r="BC38" s="37"/>
      <c r="BD38" s="38"/>
      <c r="BE38" s="38"/>
      <c r="BF38" s="38"/>
      <c r="BG38" s="38"/>
      <c r="BH38" s="38"/>
      <c r="BI38" s="38"/>
      <c r="BJ38" s="39"/>
    </row>
    <row r="39" spans="3:62" ht="6.95" customHeight="1" x14ac:dyDescent="0.25">
      <c r="E39" s="49">
        <v>3</v>
      </c>
      <c r="F39" s="50"/>
      <c r="G39" s="50"/>
      <c r="H39" s="50"/>
      <c r="I39" s="50"/>
      <c r="J39" s="51"/>
      <c r="K39" s="28">
        <v>1.0046999999999999</v>
      </c>
      <c r="L39" s="29"/>
      <c r="M39" s="29"/>
      <c r="N39" s="29"/>
      <c r="O39" s="29"/>
      <c r="P39" s="29"/>
      <c r="Q39" s="29"/>
      <c r="R39" s="29"/>
      <c r="S39" s="29"/>
      <c r="T39" s="29"/>
      <c r="U39" s="29"/>
      <c r="V39" s="30"/>
      <c r="W39" s="16">
        <f ca="1">0.8+RANDBETWEEN(20,40)/1000</f>
        <v>0.83000000000000007</v>
      </c>
      <c r="X39" s="17"/>
      <c r="Y39" s="17"/>
      <c r="Z39" s="17"/>
      <c r="AA39" s="17"/>
      <c r="AB39" s="17"/>
      <c r="AC39" s="17"/>
      <c r="AD39" s="17"/>
      <c r="AE39" s="17"/>
      <c r="AF39" s="17"/>
      <c r="AG39" s="17"/>
      <c r="AH39" s="18"/>
      <c r="AI39" s="22">
        <f ca="1">ROUND((LEFT(Q$31,LEN(Q$31)-7)*W39-22.4)/K39,2)</f>
        <v>5197.1099999999997</v>
      </c>
      <c r="AJ39" s="23"/>
      <c r="AK39" s="23"/>
      <c r="AL39" s="23"/>
      <c r="AM39" s="23"/>
      <c r="AN39" s="23"/>
      <c r="AO39" s="23"/>
      <c r="AP39" s="23"/>
      <c r="AQ39" s="23"/>
      <c r="AR39" s="23"/>
      <c r="AS39" s="23"/>
      <c r="AT39" s="24"/>
      <c r="AU39" s="34"/>
      <c r="AV39" s="35"/>
      <c r="AW39" s="35"/>
      <c r="AX39" s="35"/>
      <c r="AY39" s="35"/>
      <c r="AZ39" s="35"/>
      <c r="BA39" s="35"/>
      <c r="BB39" s="36"/>
      <c r="BC39" s="37"/>
      <c r="BD39" s="38"/>
      <c r="BE39" s="38"/>
      <c r="BF39" s="38"/>
      <c r="BG39" s="38"/>
      <c r="BH39" s="38"/>
      <c r="BI39" s="38"/>
      <c r="BJ39" s="39"/>
    </row>
    <row r="40" spans="3:62" ht="6.95" customHeight="1" x14ac:dyDescent="0.25">
      <c r="E40" s="52"/>
      <c r="F40" s="53"/>
      <c r="G40" s="53"/>
      <c r="H40" s="53"/>
      <c r="I40" s="53"/>
      <c r="J40" s="54"/>
      <c r="K40" s="31"/>
      <c r="L40" s="32"/>
      <c r="M40" s="32"/>
      <c r="N40" s="32"/>
      <c r="O40" s="32"/>
      <c r="P40" s="32"/>
      <c r="Q40" s="32"/>
      <c r="R40" s="32"/>
      <c r="S40" s="32"/>
      <c r="T40" s="32"/>
      <c r="U40" s="32"/>
      <c r="V40" s="33"/>
      <c r="W40" s="19"/>
      <c r="X40" s="20"/>
      <c r="Y40" s="20"/>
      <c r="Z40" s="20"/>
      <c r="AA40" s="20"/>
      <c r="AB40" s="20"/>
      <c r="AC40" s="20"/>
      <c r="AD40" s="20"/>
      <c r="AE40" s="20"/>
      <c r="AF40" s="20"/>
      <c r="AG40" s="20"/>
      <c r="AH40" s="21"/>
      <c r="AI40" s="25"/>
      <c r="AJ40" s="26"/>
      <c r="AK40" s="26"/>
      <c r="AL40" s="26"/>
      <c r="AM40" s="26"/>
      <c r="AN40" s="26"/>
      <c r="AO40" s="26"/>
      <c r="AP40" s="26"/>
      <c r="AQ40" s="26"/>
      <c r="AR40" s="26"/>
      <c r="AS40" s="26"/>
      <c r="AT40" s="27"/>
      <c r="AU40" s="34"/>
      <c r="AV40" s="35"/>
      <c r="AW40" s="35"/>
      <c r="AX40" s="35"/>
      <c r="AY40" s="35"/>
      <c r="AZ40" s="35"/>
      <c r="BA40" s="35"/>
      <c r="BB40" s="36"/>
      <c r="BC40" s="37"/>
      <c r="BD40" s="38"/>
      <c r="BE40" s="38"/>
      <c r="BF40" s="38"/>
      <c r="BG40" s="38"/>
      <c r="BH40" s="38"/>
      <c r="BI40" s="38"/>
      <c r="BJ40" s="39"/>
    </row>
    <row r="41" spans="3:62" ht="6.95" customHeight="1" x14ac:dyDescent="0.25">
      <c r="E41" s="49">
        <v>4</v>
      </c>
      <c r="F41" s="50"/>
      <c r="G41" s="50"/>
      <c r="H41" s="50"/>
      <c r="I41" s="50"/>
      <c r="J41" s="51"/>
      <c r="K41" s="28">
        <v>0.99870000000000003</v>
      </c>
      <c r="L41" s="29"/>
      <c r="M41" s="29"/>
      <c r="N41" s="29"/>
      <c r="O41" s="29"/>
      <c r="P41" s="29"/>
      <c r="Q41" s="29"/>
      <c r="R41" s="29"/>
      <c r="S41" s="29"/>
      <c r="T41" s="29"/>
      <c r="U41" s="29"/>
      <c r="V41" s="30"/>
      <c r="W41" s="16">
        <f ca="1">0.8+RANDBETWEEN(20,40)/1000</f>
        <v>0.83800000000000008</v>
      </c>
      <c r="X41" s="17"/>
      <c r="Y41" s="17"/>
      <c r="Z41" s="17"/>
      <c r="AA41" s="17"/>
      <c r="AB41" s="17"/>
      <c r="AC41" s="17"/>
      <c r="AD41" s="17"/>
      <c r="AE41" s="17"/>
      <c r="AF41" s="17"/>
      <c r="AG41" s="17"/>
      <c r="AH41" s="18"/>
      <c r="AI41" s="22">
        <f ca="1">ROUND((LEFT(Q$31,LEN(Q$31)-7)*W41-22.4)/K41,2)</f>
        <v>5278.95</v>
      </c>
      <c r="AJ41" s="23"/>
      <c r="AK41" s="23"/>
      <c r="AL41" s="23"/>
      <c r="AM41" s="23"/>
      <c r="AN41" s="23"/>
      <c r="AO41" s="23"/>
      <c r="AP41" s="23"/>
      <c r="AQ41" s="23"/>
      <c r="AR41" s="23"/>
      <c r="AS41" s="23"/>
      <c r="AT41" s="24"/>
      <c r="AU41" s="34"/>
      <c r="AV41" s="35"/>
      <c r="AW41" s="35"/>
      <c r="AX41" s="35"/>
      <c r="AY41" s="35"/>
      <c r="AZ41" s="35"/>
      <c r="BA41" s="35"/>
      <c r="BB41" s="36"/>
      <c r="BC41" s="37"/>
      <c r="BD41" s="38"/>
      <c r="BE41" s="38"/>
      <c r="BF41" s="38"/>
      <c r="BG41" s="38"/>
      <c r="BH41" s="38"/>
      <c r="BI41" s="38"/>
      <c r="BJ41" s="39"/>
    </row>
    <row r="42" spans="3:62" ht="6.95" customHeight="1" x14ac:dyDescent="0.25">
      <c r="E42" s="52"/>
      <c r="F42" s="53"/>
      <c r="G42" s="53"/>
      <c r="H42" s="53"/>
      <c r="I42" s="53"/>
      <c r="J42" s="54"/>
      <c r="K42" s="31"/>
      <c r="L42" s="32"/>
      <c r="M42" s="32"/>
      <c r="N42" s="32"/>
      <c r="O42" s="32"/>
      <c r="P42" s="32"/>
      <c r="Q42" s="32"/>
      <c r="R42" s="32"/>
      <c r="S42" s="32"/>
      <c r="T42" s="32"/>
      <c r="U42" s="32"/>
      <c r="V42" s="33"/>
      <c r="W42" s="19"/>
      <c r="X42" s="20"/>
      <c r="Y42" s="20"/>
      <c r="Z42" s="20"/>
      <c r="AA42" s="20"/>
      <c r="AB42" s="20"/>
      <c r="AC42" s="20"/>
      <c r="AD42" s="20"/>
      <c r="AE42" s="20"/>
      <c r="AF42" s="20"/>
      <c r="AG42" s="20"/>
      <c r="AH42" s="21"/>
      <c r="AI42" s="25"/>
      <c r="AJ42" s="26"/>
      <c r="AK42" s="26"/>
      <c r="AL42" s="26"/>
      <c r="AM42" s="26"/>
      <c r="AN42" s="26"/>
      <c r="AO42" s="26"/>
      <c r="AP42" s="26"/>
      <c r="AQ42" s="26"/>
      <c r="AR42" s="26"/>
      <c r="AS42" s="26"/>
      <c r="AT42" s="27"/>
      <c r="AU42" s="34"/>
      <c r="AV42" s="35"/>
      <c r="AW42" s="35"/>
      <c r="AX42" s="35"/>
      <c r="AY42" s="35"/>
      <c r="AZ42" s="35"/>
      <c r="BA42" s="35"/>
      <c r="BB42" s="36"/>
      <c r="BC42" s="37"/>
      <c r="BD42" s="38"/>
      <c r="BE42" s="38"/>
      <c r="BF42" s="38"/>
      <c r="BG42" s="38"/>
      <c r="BH42" s="38"/>
      <c r="BI42" s="38"/>
      <c r="BJ42" s="39"/>
    </row>
    <row r="43" spans="3:62" ht="6.95" customHeight="1" x14ac:dyDescent="0.25">
      <c r="E43" s="49">
        <v>5</v>
      </c>
      <c r="F43" s="50"/>
      <c r="G43" s="50"/>
      <c r="H43" s="50"/>
      <c r="I43" s="50"/>
      <c r="J43" s="51"/>
      <c r="K43" s="28">
        <v>1.0028999999999999</v>
      </c>
      <c r="L43" s="29"/>
      <c r="M43" s="29"/>
      <c r="N43" s="29"/>
      <c r="O43" s="29"/>
      <c r="P43" s="29"/>
      <c r="Q43" s="29"/>
      <c r="R43" s="29"/>
      <c r="S43" s="29"/>
      <c r="T43" s="29"/>
      <c r="U43" s="29"/>
      <c r="V43" s="30"/>
      <c r="W43" s="16">
        <f ca="1">0.8+RANDBETWEEN(20,40)/1000</f>
        <v>0.82700000000000007</v>
      </c>
      <c r="X43" s="17"/>
      <c r="Y43" s="17"/>
      <c r="Z43" s="17"/>
      <c r="AA43" s="17"/>
      <c r="AB43" s="17"/>
      <c r="AC43" s="17"/>
      <c r="AD43" s="17"/>
      <c r="AE43" s="17"/>
      <c r="AF43" s="17"/>
      <c r="AG43" s="17"/>
      <c r="AH43" s="18"/>
      <c r="AI43" s="22">
        <f ca="1">ROUND((LEFT(Q$31,LEN(Q$31)-7)*W43-22.4)/K43,2)</f>
        <v>5187.54</v>
      </c>
      <c r="AJ43" s="23"/>
      <c r="AK43" s="23"/>
      <c r="AL43" s="23"/>
      <c r="AM43" s="23"/>
      <c r="AN43" s="23"/>
      <c r="AO43" s="23"/>
      <c r="AP43" s="23"/>
      <c r="AQ43" s="23"/>
      <c r="AR43" s="23"/>
      <c r="AS43" s="23"/>
      <c r="AT43" s="24"/>
      <c r="AU43" s="34"/>
      <c r="AV43" s="35"/>
      <c r="AW43" s="35"/>
      <c r="AX43" s="35"/>
      <c r="AY43" s="35"/>
      <c r="AZ43" s="35"/>
      <c r="BA43" s="35"/>
      <c r="BB43" s="36"/>
      <c r="BC43" s="37"/>
      <c r="BD43" s="38"/>
      <c r="BE43" s="38"/>
      <c r="BF43" s="38"/>
      <c r="BG43" s="38"/>
      <c r="BH43" s="38"/>
      <c r="BI43" s="38"/>
      <c r="BJ43" s="39"/>
    </row>
    <row r="44" spans="3:62" ht="6.95" customHeight="1" x14ac:dyDescent="0.25">
      <c r="E44" s="52"/>
      <c r="F44" s="53"/>
      <c r="G44" s="53"/>
      <c r="H44" s="53"/>
      <c r="I44" s="53"/>
      <c r="J44" s="54"/>
      <c r="K44" s="31"/>
      <c r="L44" s="32"/>
      <c r="M44" s="32"/>
      <c r="N44" s="32"/>
      <c r="O44" s="32"/>
      <c r="P44" s="32"/>
      <c r="Q44" s="32"/>
      <c r="R44" s="32"/>
      <c r="S44" s="32"/>
      <c r="T44" s="32"/>
      <c r="U44" s="32"/>
      <c r="V44" s="33"/>
      <c r="W44" s="19"/>
      <c r="X44" s="20"/>
      <c r="Y44" s="20"/>
      <c r="Z44" s="20"/>
      <c r="AA44" s="20"/>
      <c r="AB44" s="20"/>
      <c r="AC44" s="20"/>
      <c r="AD44" s="20"/>
      <c r="AE44" s="20"/>
      <c r="AF44" s="20"/>
      <c r="AG44" s="20"/>
      <c r="AH44" s="21"/>
      <c r="AI44" s="25"/>
      <c r="AJ44" s="26"/>
      <c r="AK44" s="26"/>
      <c r="AL44" s="26"/>
      <c r="AM44" s="26"/>
      <c r="AN44" s="26"/>
      <c r="AO44" s="26"/>
      <c r="AP44" s="26"/>
      <c r="AQ44" s="26"/>
      <c r="AR44" s="26"/>
      <c r="AS44" s="26"/>
      <c r="AT44" s="27"/>
      <c r="AU44" s="34"/>
      <c r="AV44" s="35"/>
      <c r="AW44" s="35"/>
      <c r="AX44" s="35"/>
      <c r="AY44" s="35"/>
      <c r="AZ44" s="35"/>
      <c r="BA44" s="35"/>
      <c r="BB44" s="36"/>
      <c r="BC44" s="37"/>
      <c r="BD44" s="38"/>
      <c r="BE44" s="38"/>
      <c r="BF44" s="38"/>
      <c r="BG44" s="38"/>
      <c r="BH44" s="38"/>
      <c r="BI44" s="38"/>
      <c r="BJ44" s="39"/>
    </row>
    <row r="45" spans="3:62" ht="6.95" customHeight="1" x14ac:dyDescent="0.25">
      <c r="E45" s="49">
        <v>6</v>
      </c>
      <c r="F45" s="50"/>
      <c r="G45" s="50"/>
      <c r="H45" s="50"/>
      <c r="I45" s="50"/>
      <c r="J45" s="51"/>
      <c r="K45" s="28">
        <v>1.0032000000000001</v>
      </c>
      <c r="L45" s="29"/>
      <c r="M45" s="29"/>
      <c r="N45" s="29"/>
      <c r="O45" s="29"/>
      <c r="P45" s="29"/>
      <c r="Q45" s="29"/>
      <c r="R45" s="29"/>
      <c r="S45" s="29"/>
      <c r="T45" s="29"/>
      <c r="U45" s="29"/>
      <c r="V45" s="30"/>
      <c r="W45" s="16">
        <f ca="1">0.8+RANDBETWEEN(20,40)/1000</f>
        <v>0.83700000000000008</v>
      </c>
      <c r="X45" s="17"/>
      <c r="Y45" s="17"/>
      <c r="Z45" s="17"/>
      <c r="AA45" s="17"/>
      <c r="AB45" s="17"/>
      <c r="AC45" s="17"/>
      <c r="AD45" s="17"/>
      <c r="AE45" s="17"/>
      <c r="AF45" s="17"/>
      <c r="AG45" s="17"/>
      <c r="AH45" s="18"/>
      <c r="AI45" s="22">
        <f ca="1">ROUND((LEFT(Q$31,LEN(Q$31)-7)*W45-22.4)/K45,2)</f>
        <v>5248.97</v>
      </c>
      <c r="AJ45" s="23"/>
      <c r="AK45" s="23"/>
      <c r="AL45" s="23"/>
      <c r="AM45" s="23"/>
      <c r="AN45" s="23"/>
      <c r="AO45" s="23"/>
      <c r="AP45" s="23"/>
      <c r="AQ45" s="23"/>
      <c r="AR45" s="23"/>
      <c r="AS45" s="23"/>
      <c r="AT45" s="24"/>
      <c r="AU45" s="34"/>
      <c r="AV45" s="35"/>
      <c r="AW45" s="35"/>
      <c r="AX45" s="35"/>
      <c r="AY45" s="35"/>
      <c r="AZ45" s="35"/>
      <c r="BA45" s="35"/>
      <c r="BB45" s="36"/>
      <c r="BC45" s="37"/>
      <c r="BD45" s="38"/>
      <c r="BE45" s="38"/>
      <c r="BF45" s="38"/>
      <c r="BG45" s="38"/>
      <c r="BH45" s="38"/>
      <c r="BI45" s="38"/>
      <c r="BJ45" s="39"/>
    </row>
    <row r="46" spans="3:62" ht="6.95" customHeight="1" x14ac:dyDescent="0.25">
      <c r="E46" s="52"/>
      <c r="F46" s="53"/>
      <c r="G46" s="53"/>
      <c r="H46" s="53"/>
      <c r="I46" s="53"/>
      <c r="J46" s="54"/>
      <c r="K46" s="31"/>
      <c r="L46" s="32"/>
      <c r="M46" s="32"/>
      <c r="N46" s="32"/>
      <c r="O46" s="32"/>
      <c r="P46" s="32"/>
      <c r="Q46" s="32"/>
      <c r="R46" s="32"/>
      <c r="S46" s="32"/>
      <c r="T46" s="32"/>
      <c r="U46" s="32"/>
      <c r="V46" s="33"/>
      <c r="W46" s="19"/>
      <c r="X46" s="20"/>
      <c r="Y46" s="20"/>
      <c r="Z46" s="20"/>
      <c r="AA46" s="20"/>
      <c r="AB46" s="20"/>
      <c r="AC46" s="20"/>
      <c r="AD46" s="20"/>
      <c r="AE46" s="20"/>
      <c r="AF46" s="20"/>
      <c r="AG46" s="20"/>
      <c r="AH46" s="21"/>
      <c r="AI46" s="25"/>
      <c r="AJ46" s="26"/>
      <c r="AK46" s="26"/>
      <c r="AL46" s="26"/>
      <c r="AM46" s="26"/>
      <c r="AN46" s="26"/>
      <c r="AO46" s="26"/>
      <c r="AP46" s="26"/>
      <c r="AQ46" s="26"/>
      <c r="AR46" s="26"/>
      <c r="AS46" s="26"/>
      <c r="AT46" s="27"/>
      <c r="AU46" s="25"/>
      <c r="AV46" s="26"/>
      <c r="AW46" s="26"/>
      <c r="AX46" s="26"/>
      <c r="AY46" s="26"/>
      <c r="AZ46" s="26"/>
      <c r="BA46" s="26"/>
      <c r="BB46" s="27"/>
      <c r="BC46" s="19"/>
      <c r="BD46" s="20"/>
      <c r="BE46" s="20"/>
      <c r="BF46" s="20"/>
      <c r="BG46" s="20"/>
      <c r="BH46" s="20"/>
      <c r="BI46" s="20"/>
      <c r="BJ46" s="21"/>
    </row>
    <row r="47" spans="3:62" ht="6.95" customHeight="1" x14ac:dyDescent="0.25"/>
    <row r="48" spans="3:62" ht="6.95" customHeight="1" x14ac:dyDescent="0.25">
      <c r="C48" s="7" t="str">
        <f>"4."</f>
        <v>4.</v>
      </c>
      <c r="D48" s="7"/>
      <c r="E48" s="8" t="s">
        <v>18</v>
      </c>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3:62" ht="6.95" customHeight="1" x14ac:dyDescent="0.25">
      <c r="C49" s="7"/>
      <c r="D49" s="7"/>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3:62" ht="6.95" customHeight="1" x14ac:dyDescent="0.25">
      <c r="E50" s="11"/>
      <c r="F50" s="11"/>
      <c r="G50" s="11"/>
      <c r="H50" s="11"/>
      <c r="I50" s="11"/>
      <c r="J50" s="11"/>
      <c r="K50" s="11"/>
      <c r="L50" s="11"/>
      <c r="M50" s="11"/>
      <c r="N50" s="11"/>
      <c r="O50" s="11"/>
      <c r="P50" s="11"/>
      <c r="Q50" s="11"/>
      <c r="R50" s="11"/>
      <c r="S50" s="11"/>
      <c r="T50" s="11"/>
      <c r="U50" s="11"/>
      <c r="V50" s="11"/>
      <c r="W50" s="11"/>
      <c r="X50" s="11"/>
      <c r="Y50" s="11" t="s">
        <v>17</v>
      </c>
      <c r="Z50" s="11"/>
      <c r="AA50" s="11"/>
      <c r="AB50" s="11"/>
      <c r="AC50" s="11"/>
      <c r="AD50" s="11"/>
      <c r="AE50" s="11"/>
      <c r="AF50" s="11"/>
      <c r="AG50" s="11"/>
      <c r="AH50" s="11"/>
      <c r="AI50" s="11"/>
      <c r="AJ50" s="11"/>
      <c r="AK50" s="11"/>
      <c r="AL50" s="11"/>
      <c r="AM50" s="11" t="s">
        <v>16</v>
      </c>
      <c r="AN50" s="11"/>
      <c r="AO50" s="11"/>
      <c r="AP50" s="11"/>
      <c r="AQ50" s="11"/>
      <c r="AR50" s="11"/>
      <c r="AS50" s="11"/>
      <c r="AT50" s="11"/>
      <c r="AU50" s="11"/>
      <c r="AV50" s="11"/>
      <c r="AW50" s="11"/>
      <c r="AX50" s="11"/>
      <c r="AY50" s="11"/>
      <c r="AZ50" s="11"/>
      <c r="BA50" s="11" t="s">
        <v>15</v>
      </c>
      <c r="BB50" s="11"/>
      <c r="BC50" s="11"/>
      <c r="BD50" s="11"/>
      <c r="BE50" s="11"/>
      <c r="BF50" s="11"/>
      <c r="BG50" s="11"/>
      <c r="BH50" s="11"/>
      <c r="BI50" s="11"/>
      <c r="BJ50" s="11"/>
    </row>
    <row r="51" spans="3:62" ht="6.95" customHeight="1" x14ac:dyDescent="0.25">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row>
    <row r="52" spans="3:62" ht="6.95" customHeight="1" x14ac:dyDescent="0.25">
      <c r="E52" s="12" t="s">
        <v>14</v>
      </c>
      <c r="F52" s="12"/>
      <c r="G52" s="12"/>
      <c r="H52" s="12"/>
      <c r="I52" s="12"/>
      <c r="J52" s="12"/>
      <c r="K52" s="12"/>
      <c r="L52" s="12"/>
      <c r="M52" s="12"/>
      <c r="N52" s="12"/>
      <c r="O52" s="12"/>
      <c r="P52" s="12"/>
      <c r="Q52" s="12"/>
      <c r="R52" s="12"/>
      <c r="S52" s="12"/>
      <c r="T52" s="12"/>
      <c r="U52" s="12"/>
      <c r="V52" s="12"/>
      <c r="W52" s="12"/>
      <c r="X52" s="12"/>
      <c r="Y52" s="13" t="s">
        <v>70</v>
      </c>
      <c r="Z52" s="13"/>
      <c r="AA52" s="13"/>
      <c r="AB52" s="13"/>
      <c r="AC52" s="13"/>
      <c r="AD52" s="13"/>
      <c r="AE52" s="13"/>
      <c r="AF52" s="13"/>
      <c r="AG52" s="13"/>
      <c r="AH52" s="13"/>
      <c r="AI52" s="13"/>
      <c r="AJ52" s="13"/>
      <c r="AK52" s="13"/>
      <c r="AL52" s="13"/>
      <c r="AM52" s="13" t="str">
        <f ca="1">TEXT(ROUND(100*BC35/AU35,3),"0.000") &amp; " %"</f>
        <v>0.838 %</v>
      </c>
      <c r="AN52" s="13"/>
      <c r="AO52" s="13"/>
      <c r="AP52" s="13"/>
      <c r="AQ52" s="13"/>
      <c r="AR52" s="13"/>
      <c r="AS52" s="13"/>
      <c r="AT52" s="13"/>
      <c r="AU52" s="13"/>
      <c r="AV52" s="13"/>
      <c r="AW52" s="13"/>
      <c r="AX52" s="13"/>
      <c r="AY52" s="13"/>
      <c r="AZ52" s="13"/>
      <c r="BA52" s="14" t="str">
        <f ca="1">IF(MID(Y52,2,LEN(Y52)-2)&gt;LEFT(AM52,5),"Pass","Fail")</f>
        <v>Fail</v>
      </c>
      <c r="BB52" s="14"/>
      <c r="BC52" s="14"/>
      <c r="BD52" s="14"/>
      <c r="BE52" s="14"/>
      <c r="BF52" s="14"/>
      <c r="BG52" s="14"/>
      <c r="BH52" s="14"/>
      <c r="BI52" s="14"/>
      <c r="BJ52" s="14"/>
    </row>
    <row r="53" spans="3:62" ht="6.95" customHeight="1" x14ac:dyDescent="0.25">
      <c r="E53" s="12"/>
      <c r="F53" s="12"/>
      <c r="G53" s="12"/>
      <c r="H53" s="12"/>
      <c r="I53" s="12"/>
      <c r="J53" s="12"/>
      <c r="K53" s="12"/>
      <c r="L53" s="12"/>
      <c r="M53" s="12"/>
      <c r="N53" s="12"/>
      <c r="O53" s="12"/>
      <c r="P53" s="12"/>
      <c r="Q53" s="12"/>
      <c r="R53" s="12"/>
      <c r="S53" s="12"/>
      <c r="T53" s="12"/>
      <c r="U53" s="12"/>
      <c r="V53" s="12"/>
      <c r="W53" s="12"/>
      <c r="X53" s="12"/>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4"/>
      <c r="BB53" s="14"/>
      <c r="BC53" s="14"/>
      <c r="BD53" s="14"/>
      <c r="BE53" s="14"/>
      <c r="BF53" s="14"/>
      <c r="BG53" s="14"/>
      <c r="BH53" s="14"/>
      <c r="BI53" s="14"/>
      <c r="BJ53" s="14"/>
    </row>
    <row r="54" spans="3:62" ht="6.95" customHeight="1" x14ac:dyDescent="0.25">
      <c r="E54" s="12" t="s">
        <v>13</v>
      </c>
      <c r="F54" s="12"/>
      <c r="G54" s="12"/>
      <c r="H54" s="12"/>
      <c r="I54" s="12"/>
      <c r="J54" s="12"/>
      <c r="K54" s="12"/>
      <c r="L54" s="12"/>
      <c r="M54" s="12"/>
      <c r="N54" s="12"/>
      <c r="O54" s="12"/>
      <c r="P54" s="12"/>
      <c r="Q54" s="12"/>
      <c r="R54" s="12"/>
      <c r="S54" s="12"/>
      <c r="T54" s="12"/>
      <c r="U54" s="12"/>
      <c r="V54" s="12"/>
      <c r="W54" s="12"/>
      <c r="X54" s="12"/>
      <c r="Y54" s="15">
        <v>50</v>
      </c>
      <c r="Z54" s="13"/>
      <c r="AA54" s="13"/>
      <c r="AB54" s="13"/>
      <c r="AC54" s="13"/>
      <c r="AD54" s="13"/>
      <c r="AE54" s="13"/>
      <c r="AF54" s="13"/>
      <c r="AG54" s="13"/>
      <c r="AH54" s="13"/>
      <c r="AI54" s="13"/>
      <c r="AJ54" s="13"/>
      <c r="AK54" s="13"/>
      <c r="AL54" s="13"/>
      <c r="AM54" s="15">
        <f ca="1">AU35-MID(S26,FIND(":",S26)+2,4)</f>
        <v>12.670000000000073</v>
      </c>
      <c r="AN54" s="13"/>
      <c r="AO54" s="13"/>
      <c r="AP54" s="13"/>
      <c r="AQ54" s="13"/>
      <c r="AR54" s="13"/>
      <c r="AS54" s="13"/>
      <c r="AT54" s="13"/>
      <c r="AU54" s="13"/>
      <c r="AV54" s="13"/>
      <c r="AW54" s="13"/>
      <c r="AX54" s="13"/>
      <c r="AY54" s="13"/>
      <c r="AZ54" s="13"/>
      <c r="BA54" s="14" t="str">
        <f ca="1">IF(Y54&gt;ABS(AM54),"Pass","Fail")</f>
        <v>Pass</v>
      </c>
      <c r="BB54" s="14"/>
      <c r="BC54" s="14"/>
      <c r="BD54" s="14"/>
      <c r="BE54" s="14"/>
      <c r="BF54" s="14"/>
      <c r="BG54" s="14"/>
      <c r="BH54" s="14"/>
      <c r="BI54" s="14"/>
      <c r="BJ54" s="14"/>
    </row>
    <row r="55" spans="3:62" ht="6.95" customHeight="1" x14ac:dyDescent="0.25">
      <c r="E55" s="12"/>
      <c r="F55" s="12"/>
      <c r="G55" s="12"/>
      <c r="H55" s="12"/>
      <c r="I55" s="12"/>
      <c r="J55" s="12"/>
      <c r="K55" s="12"/>
      <c r="L55" s="12"/>
      <c r="M55" s="12"/>
      <c r="N55" s="12"/>
      <c r="O55" s="12"/>
      <c r="P55" s="12"/>
      <c r="Q55" s="12"/>
      <c r="R55" s="12"/>
      <c r="S55" s="12"/>
      <c r="T55" s="12"/>
      <c r="U55" s="12"/>
      <c r="V55" s="12"/>
      <c r="W55" s="12"/>
      <c r="X55" s="12"/>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4"/>
      <c r="BB55" s="14"/>
      <c r="BC55" s="14"/>
      <c r="BD55" s="14"/>
      <c r="BE55" s="14"/>
      <c r="BF55" s="14"/>
      <c r="BG55" s="14"/>
      <c r="BH55" s="14"/>
      <c r="BI55" s="14"/>
      <c r="BJ55" s="14"/>
    </row>
    <row r="56" spans="3:62" ht="6.95" customHeight="1" x14ac:dyDescent="0.25"/>
    <row r="57" spans="3:62" ht="6.95" customHeight="1" x14ac:dyDescent="0.25">
      <c r="C57" s="7" t="str">
        <f>"5."</f>
        <v>5.</v>
      </c>
      <c r="D57" s="7"/>
      <c r="E57" s="8" t="s">
        <v>12</v>
      </c>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3:62" ht="6.95" customHeight="1" x14ac:dyDescent="0.25">
      <c r="C58" s="7"/>
      <c r="D58" s="7"/>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3:62" ht="6.95" customHeight="1" x14ac:dyDescent="0.25">
      <c r="E59" s="9" t="str">
        <f ca="1">IF(AND(LOWER(BA52)="pass",LOWER(BA54)="pass"),
"Based on the evaluation of precision and accuracy, the method for GCV of Coal is verified and found suitable for routine testing in this laboratory.",
"Method verification failed due to unacceptable repeatability. Corrective action initiated.")</f>
        <v>Method verification failed due to unacceptable repeatability. Corrective action initiated.</v>
      </c>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3:62" ht="6.95" customHeight="1" x14ac:dyDescent="0.25">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3:62" ht="6.95" customHeight="1" x14ac:dyDescent="0.25">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3:62" ht="6.95" customHeight="1" x14ac:dyDescent="0.25">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3:62" ht="6.95" customHeight="1" x14ac:dyDescent="0.25"/>
    <row r="64" spans="3:62" ht="6.95" customHeight="1" x14ac:dyDescent="0.25">
      <c r="C64" s="7" t="str">
        <f>"6."</f>
        <v>6.</v>
      </c>
      <c r="D64" s="7"/>
      <c r="E64" s="8" t="s">
        <v>11</v>
      </c>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3:62" ht="6.95" customHeight="1" x14ac:dyDescent="0.25">
      <c r="C65" s="7"/>
      <c r="D65" s="7"/>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3:62" ht="6.95" customHeight="1" x14ac:dyDescent="0.25">
      <c r="E66" s="5" t="s">
        <v>10</v>
      </c>
      <c r="F66" s="5"/>
      <c r="G66" s="5"/>
      <c r="H66" s="5"/>
      <c r="I66" s="5"/>
      <c r="J66" s="5"/>
      <c r="K66" s="5"/>
      <c r="L66" s="6" t="s">
        <v>2</v>
      </c>
      <c r="M66" s="8" t="s">
        <v>9</v>
      </c>
      <c r="N66" s="8"/>
      <c r="O66" s="8"/>
      <c r="P66" s="8"/>
      <c r="Q66" s="8"/>
      <c r="R66" s="8"/>
      <c r="S66" s="8"/>
      <c r="T66" s="8"/>
      <c r="U66" s="8"/>
      <c r="V66" s="8"/>
      <c r="W66" s="8"/>
      <c r="X66" s="8"/>
      <c r="Y66" s="8"/>
      <c r="Z66" s="8"/>
      <c r="AA66" s="8"/>
      <c r="AB66" s="8"/>
      <c r="AC66" s="8"/>
      <c r="AD66" s="8"/>
      <c r="AE66" s="8"/>
      <c r="AF66" s="8"/>
      <c r="AG66" s="8"/>
      <c r="AH66" s="5" t="s">
        <v>6</v>
      </c>
      <c r="AI66" s="5"/>
      <c r="AJ66" s="5"/>
      <c r="AK66" s="5"/>
      <c r="AL66" s="5"/>
      <c r="AM66" s="5"/>
      <c r="AN66" s="5"/>
      <c r="AO66" s="6" t="s">
        <v>2</v>
      </c>
      <c r="AP66" s="8" t="s">
        <v>8</v>
      </c>
      <c r="AQ66" s="8"/>
      <c r="AR66" s="8"/>
      <c r="AS66" s="8"/>
      <c r="AT66" s="8"/>
      <c r="AU66" s="8"/>
      <c r="AV66" s="8"/>
      <c r="AW66" s="8"/>
      <c r="AX66" s="8"/>
      <c r="AY66" s="8"/>
      <c r="AZ66" s="8"/>
      <c r="BA66" s="8"/>
      <c r="BB66" s="8"/>
      <c r="BC66" s="8"/>
      <c r="BD66" s="8"/>
      <c r="BE66" s="8"/>
      <c r="BF66" s="8"/>
      <c r="BG66" s="8"/>
      <c r="BH66" s="8"/>
      <c r="BI66" s="8"/>
      <c r="BJ66" s="8"/>
    </row>
    <row r="67" spans="3:62" ht="6.95" customHeight="1" x14ac:dyDescent="0.25">
      <c r="E67" s="5"/>
      <c r="F67" s="5"/>
      <c r="G67" s="5"/>
      <c r="H67" s="5"/>
      <c r="I67" s="5"/>
      <c r="J67" s="5"/>
      <c r="K67" s="5"/>
      <c r="L67" s="6"/>
      <c r="M67" s="8"/>
      <c r="N67" s="8"/>
      <c r="O67" s="8"/>
      <c r="P67" s="8"/>
      <c r="Q67" s="8"/>
      <c r="R67" s="8"/>
      <c r="S67" s="8"/>
      <c r="T67" s="8"/>
      <c r="U67" s="8"/>
      <c r="V67" s="8"/>
      <c r="W67" s="8"/>
      <c r="X67" s="8"/>
      <c r="Y67" s="8"/>
      <c r="Z67" s="8"/>
      <c r="AA67" s="8"/>
      <c r="AB67" s="8"/>
      <c r="AC67" s="8"/>
      <c r="AD67" s="8"/>
      <c r="AE67" s="8"/>
      <c r="AF67" s="8"/>
      <c r="AG67" s="8"/>
      <c r="AH67" s="5"/>
      <c r="AI67" s="5"/>
      <c r="AJ67" s="5"/>
      <c r="AK67" s="5"/>
      <c r="AL67" s="5"/>
      <c r="AM67" s="5"/>
      <c r="AN67" s="5"/>
      <c r="AO67" s="6"/>
      <c r="AP67" s="8"/>
      <c r="AQ67" s="8"/>
      <c r="AR67" s="8"/>
      <c r="AS67" s="8"/>
      <c r="AT67" s="8"/>
      <c r="AU67" s="8"/>
      <c r="AV67" s="8"/>
      <c r="AW67" s="8"/>
      <c r="AX67" s="8"/>
      <c r="AY67" s="8"/>
      <c r="AZ67" s="8"/>
      <c r="BA67" s="8"/>
      <c r="BB67" s="8"/>
      <c r="BC67" s="8"/>
      <c r="BD67" s="8"/>
      <c r="BE67" s="8"/>
      <c r="BF67" s="8"/>
      <c r="BG67" s="8"/>
      <c r="BH67" s="8"/>
      <c r="BI67" s="8"/>
      <c r="BJ67" s="8"/>
    </row>
    <row r="68" spans="3:62" ht="6.95" customHeight="1" x14ac:dyDescent="0.25">
      <c r="E68" s="5" t="s">
        <v>3</v>
      </c>
      <c r="F68" s="5"/>
      <c r="G68" s="5"/>
      <c r="H68" s="5"/>
      <c r="I68" s="5"/>
      <c r="J68" s="5"/>
      <c r="K68" s="5"/>
      <c r="L68" s="6" t="s">
        <v>2</v>
      </c>
      <c r="AH68" s="5" t="s">
        <v>3</v>
      </c>
      <c r="AI68" s="5"/>
      <c r="AJ68" s="5"/>
      <c r="AK68" s="5"/>
      <c r="AL68" s="5"/>
      <c r="AM68" s="5"/>
      <c r="AN68" s="5"/>
      <c r="AO68" s="6" t="s">
        <v>2</v>
      </c>
    </row>
    <row r="69" spans="3:62" ht="6.95" customHeight="1" x14ac:dyDescent="0.25">
      <c r="E69" s="5"/>
      <c r="F69" s="5"/>
      <c r="G69" s="5"/>
      <c r="H69" s="5"/>
      <c r="I69" s="5"/>
      <c r="J69" s="5"/>
      <c r="K69" s="5"/>
      <c r="L69" s="6"/>
      <c r="AH69" s="5"/>
      <c r="AI69" s="5"/>
      <c r="AJ69" s="5"/>
      <c r="AK69" s="5"/>
      <c r="AL69" s="5"/>
      <c r="AM69" s="5"/>
      <c r="AN69" s="5"/>
      <c r="AO69" s="6"/>
    </row>
    <row r="70" spans="3:62" ht="6.95" customHeight="1" x14ac:dyDescent="0.25">
      <c r="E70" s="5"/>
      <c r="F70" s="5"/>
      <c r="G70" s="5"/>
      <c r="H70" s="5"/>
      <c r="I70" s="5"/>
      <c r="J70" s="5"/>
      <c r="K70" s="5"/>
      <c r="AH70" s="5"/>
      <c r="AI70" s="5"/>
      <c r="AJ70" s="5"/>
      <c r="AK70" s="5"/>
      <c r="AL70" s="5"/>
      <c r="AM70" s="5"/>
      <c r="AN70" s="5"/>
    </row>
    <row r="71" spans="3:62" ht="6.95" customHeight="1" x14ac:dyDescent="0.25">
      <c r="E71" s="5"/>
      <c r="F71" s="5"/>
      <c r="G71" s="5"/>
      <c r="H71" s="5"/>
      <c r="I71" s="5"/>
      <c r="J71" s="5"/>
      <c r="K71" s="5"/>
      <c r="AH71" s="5"/>
      <c r="AI71" s="5"/>
      <c r="AJ71" s="5"/>
      <c r="AK71" s="5"/>
      <c r="AL71" s="5"/>
      <c r="AM71" s="5"/>
      <c r="AN71" s="5"/>
    </row>
    <row r="72" spans="3:62" ht="6.95" customHeight="1" x14ac:dyDescent="0.25">
      <c r="E72" s="5" t="s">
        <v>7</v>
      </c>
      <c r="F72" s="5"/>
      <c r="G72" s="5"/>
      <c r="H72" s="5"/>
      <c r="I72" s="5"/>
      <c r="J72" s="5"/>
      <c r="K72" s="5"/>
      <c r="L72" s="6" t="s">
        <v>2</v>
      </c>
      <c r="M72" s="10">
        <f ca="1">TODAY()</f>
        <v>46070</v>
      </c>
      <c r="N72" s="10"/>
      <c r="O72" s="10"/>
      <c r="P72" s="10"/>
      <c r="Q72" s="10"/>
      <c r="R72" s="10"/>
      <c r="S72" s="10"/>
      <c r="T72" s="10"/>
      <c r="U72" s="10"/>
      <c r="V72" s="10"/>
      <c r="W72" s="10"/>
      <c r="X72" s="10"/>
      <c r="Y72" s="10"/>
      <c r="Z72" s="10"/>
      <c r="AA72" s="10"/>
      <c r="AB72" s="10"/>
      <c r="AC72" s="10"/>
      <c r="AD72" s="10"/>
      <c r="AE72" s="10"/>
      <c r="AF72" s="10"/>
      <c r="AG72" s="10"/>
      <c r="AH72" s="5" t="s">
        <v>6</v>
      </c>
      <c r="AI72" s="5"/>
      <c r="AJ72" s="5"/>
      <c r="AK72" s="5"/>
      <c r="AL72" s="5"/>
      <c r="AM72" s="5"/>
      <c r="AN72" s="5"/>
      <c r="AO72" s="6" t="s">
        <v>2</v>
      </c>
      <c r="AP72" s="8" t="s">
        <v>5</v>
      </c>
      <c r="AQ72" s="8"/>
      <c r="AR72" s="8"/>
      <c r="AS72" s="8"/>
      <c r="AT72" s="8"/>
      <c r="AU72" s="8"/>
      <c r="AV72" s="8"/>
      <c r="AW72" s="8"/>
      <c r="AX72" s="8"/>
      <c r="AY72" s="8"/>
      <c r="AZ72" s="8"/>
      <c r="BA72" s="8"/>
      <c r="BB72" s="8"/>
      <c r="BC72" s="8"/>
      <c r="BD72" s="8"/>
      <c r="BE72" s="8"/>
      <c r="BF72" s="8"/>
      <c r="BG72" s="8"/>
      <c r="BH72" s="8"/>
      <c r="BI72" s="8"/>
      <c r="BJ72" s="8"/>
    </row>
    <row r="73" spans="3:62" ht="6.95" customHeight="1" x14ac:dyDescent="0.25">
      <c r="E73" s="5"/>
      <c r="F73" s="5"/>
      <c r="G73" s="5"/>
      <c r="H73" s="5"/>
      <c r="I73" s="5"/>
      <c r="J73" s="5"/>
      <c r="K73" s="5"/>
      <c r="L73" s="6"/>
      <c r="M73" s="10"/>
      <c r="N73" s="10"/>
      <c r="O73" s="10"/>
      <c r="P73" s="10"/>
      <c r="Q73" s="10"/>
      <c r="R73" s="10"/>
      <c r="S73" s="10"/>
      <c r="T73" s="10"/>
      <c r="U73" s="10"/>
      <c r="V73" s="10"/>
      <c r="W73" s="10"/>
      <c r="X73" s="10"/>
      <c r="Y73" s="10"/>
      <c r="Z73" s="10"/>
      <c r="AA73" s="10"/>
      <c r="AB73" s="10"/>
      <c r="AC73" s="10"/>
      <c r="AD73" s="10"/>
      <c r="AE73" s="10"/>
      <c r="AF73" s="10"/>
      <c r="AG73" s="10"/>
      <c r="AH73" s="5"/>
      <c r="AI73" s="5"/>
      <c r="AJ73" s="5"/>
      <c r="AK73" s="5"/>
      <c r="AL73" s="5"/>
      <c r="AM73" s="5"/>
      <c r="AN73" s="5"/>
      <c r="AO73" s="6"/>
      <c r="AP73" s="8"/>
      <c r="AQ73" s="8"/>
      <c r="AR73" s="8"/>
      <c r="AS73" s="8"/>
      <c r="AT73" s="8"/>
      <c r="AU73" s="8"/>
      <c r="AV73" s="8"/>
      <c r="AW73" s="8"/>
      <c r="AX73" s="8"/>
      <c r="AY73" s="8"/>
      <c r="AZ73" s="8"/>
      <c r="BA73" s="8"/>
      <c r="BB73" s="8"/>
      <c r="BC73" s="8"/>
      <c r="BD73" s="8"/>
      <c r="BE73" s="8"/>
      <c r="BF73" s="8"/>
      <c r="BG73" s="8"/>
      <c r="BH73" s="8"/>
      <c r="BI73" s="8"/>
      <c r="BJ73" s="8"/>
    </row>
    <row r="74" spans="3:62" ht="6.95" customHeight="1" x14ac:dyDescent="0.25">
      <c r="E74" s="5" t="s">
        <v>4</v>
      </c>
      <c r="F74" s="5"/>
      <c r="G74" s="5"/>
      <c r="H74" s="5"/>
      <c r="I74" s="5"/>
      <c r="J74" s="5"/>
      <c r="K74" s="5"/>
      <c r="L74" s="6" t="s">
        <v>2</v>
      </c>
      <c r="AH74" s="5" t="s">
        <v>3</v>
      </c>
      <c r="AI74" s="5"/>
      <c r="AJ74" s="5"/>
      <c r="AK74" s="5"/>
      <c r="AL74" s="5"/>
      <c r="AM74" s="5"/>
      <c r="AN74" s="5"/>
      <c r="AO74" s="6" t="s">
        <v>2</v>
      </c>
    </row>
    <row r="75" spans="3:62" ht="6.95" customHeight="1" x14ac:dyDescent="0.25">
      <c r="E75" s="5"/>
      <c r="F75" s="5"/>
      <c r="G75" s="5"/>
      <c r="H75" s="5"/>
      <c r="I75" s="5"/>
      <c r="J75" s="5"/>
      <c r="K75" s="5"/>
      <c r="L75" s="6"/>
      <c r="AH75" s="5"/>
      <c r="AI75" s="5"/>
      <c r="AJ75" s="5"/>
      <c r="AK75" s="5"/>
      <c r="AL75" s="5"/>
      <c r="AM75" s="5"/>
      <c r="AN75" s="5"/>
      <c r="AO75" s="6"/>
    </row>
    <row r="76" spans="3:62" ht="6.95" customHeight="1" x14ac:dyDescent="0.25"/>
    <row r="77" spans="3:62" ht="6.95" customHeight="1" x14ac:dyDescent="0.25"/>
    <row r="78" spans="3:62" ht="6.95" customHeight="1" x14ac:dyDescent="0.25"/>
    <row r="79" spans="3:62" ht="6.95" customHeight="1" x14ac:dyDescent="0.25"/>
    <row r="80" spans="3:62" ht="6.95" customHeight="1" x14ac:dyDescent="0.25"/>
    <row r="81" ht="6.95" customHeight="1" x14ac:dyDescent="0.25"/>
    <row r="82" ht="6.95" customHeight="1" x14ac:dyDescent="0.25"/>
    <row r="83" ht="6.95" customHeight="1" x14ac:dyDescent="0.25"/>
    <row r="84" ht="6.95" customHeight="1" x14ac:dyDescent="0.25"/>
    <row r="85" ht="6.95" customHeight="1" x14ac:dyDescent="0.25"/>
    <row r="86" ht="6.95" customHeight="1" x14ac:dyDescent="0.25"/>
    <row r="87" ht="6.95" customHeight="1" x14ac:dyDescent="0.25"/>
    <row r="88" ht="6.95" customHeight="1" x14ac:dyDescent="0.25"/>
    <row r="89" ht="6.95" customHeight="1" x14ac:dyDescent="0.25"/>
    <row r="90" ht="6.95" customHeight="1" x14ac:dyDescent="0.25"/>
    <row r="91" ht="6.95" customHeight="1" x14ac:dyDescent="0.25"/>
    <row r="92" ht="6.95" customHeight="1" x14ac:dyDescent="0.25"/>
    <row r="93" ht="6.95" customHeight="1" x14ac:dyDescent="0.25"/>
    <row r="94" ht="6.95" customHeight="1" x14ac:dyDescent="0.25"/>
    <row r="95" ht="6.95" customHeight="1" x14ac:dyDescent="0.25"/>
    <row r="96" ht="6.95" customHeight="1" x14ac:dyDescent="0.25"/>
    <row r="97" spans="1:63" ht="6.95" customHeight="1" x14ac:dyDescent="0.25"/>
    <row r="98" spans="1:63" ht="6.95" customHeight="1" x14ac:dyDescent="0.25"/>
    <row r="99" spans="1:63" ht="6.95" customHeight="1" x14ac:dyDescent="0.25"/>
    <row r="100" spans="1:63" ht="6.95" customHeight="1" x14ac:dyDescent="0.25"/>
    <row r="101" spans="1:63" ht="6.95" customHeight="1" x14ac:dyDescent="0.25"/>
    <row r="102" spans="1:63" ht="6.95" customHeight="1" x14ac:dyDescent="0.25"/>
    <row r="103" spans="1:63" ht="6.95" customHeight="1" x14ac:dyDescent="0.25"/>
    <row r="104" spans="1:63" ht="6.95" customHeight="1" x14ac:dyDescent="0.25"/>
    <row r="105" spans="1:63" ht="6.95" customHeight="1" x14ac:dyDescent="0.25"/>
    <row r="106" spans="1:63" ht="6.95" customHeight="1" x14ac:dyDescent="0.25"/>
    <row r="107" spans="1:63" ht="6.95" customHeight="1" x14ac:dyDescent="0.25"/>
    <row r="108" spans="1:63" ht="6.95" customHeight="1" x14ac:dyDescent="0.25"/>
    <row r="109" spans="1:63" ht="6.95" customHeight="1" x14ac:dyDescent="0.25">
      <c r="A109" s="56" t="s">
        <v>1</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2"/>
      <c r="AF109" s="2"/>
      <c r="AG109" s="2"/>
      <c r="AH109" s="58" t="s">
        <v>0</v>
      </c>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row>
    <row r="110" spans="1:63" ht="6.95" customHeight="1" x14ac:dyDescent="0.25">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row>
  </sheetData>
  <mergeCells count="101">
    <mergeCell ref="A1:BK5"/>
    <mergeCell ref="A109:AD110"/>
    <mergeCell ref="AH109:BK110"/>
    <mergeCell ref="C7:D8"/>
    <mergeCell ref="E9:BJ12"/>
    <mergeCell ref="E7:BJ8"/>
    <mergeCell ref="E22:Q23"/>
    <mergeCell ref="E16:Q17"/>
    <mergeCell ref="E18:Q19"/>
    <mergeCell ref="E20:Q21"/>
    <mergeCell ref="R16:R17"/>
    <mergeCell ref="R18:R19"/>
    <mergeCell ref="R20:R21"/>
    <mergeCell ref="S16:BJ17"/>
    <mergeCell ref="S18:BJ19"/>
    <mergeCell ref="S20:BJ21"/>
    <mergeCell ref="S22:BJ23"/>
    <mergeCell ref="S24:BJ25"/>
    <mergeCell ref="C14:D15"/>
    <mergeCell ref="E14:BJ15"/>
    <mergeCell ref="S26:BJ27"/>
    <mergeCell ref="E26:Q27"/>
    <mergeCell ref="R26:R27"/>
    <mergeCell ref="C29:D30"/>
    <mergeCell ref="E29:BJ30"/>
    <mergeCell ref="R22:R23"/>
    <mergeCell ref="C48:D49"/>
    <mergeCell ref="E48:BJ49"/>
    <mergeCell ref="E31:P32"/>
    <mergeCell ref="Q31:Z32"/>
    <mergeCell ref="K33:V34"/>
    <mergeCell ref="K41:V42"/>
    <mergeCell ref="W41:AH42"/>
    <mergeCell ref="AI37:AT38"/>
    <mergeCell ref="W33:AH34"/>
    <mergeCell ref="AI33:AT34"/>
    <mergeCell ref="E33:J34"/>
    <mergeCell ref="E35:J36"/>
    <mergeCell ref="E37:J38"/>
    <mergeCell ref="E39:J40"/>
    <mergeCell ref="E41:J42"/>
    <mergeCell ref="E43:J44"/>
    <mergeCell ref="W39:AH40"/>
    <mergeCell ref="AI39:AT40"/>
    <mergeCell ref="E45:J46"/>
    <mergeCell ref="AU33:BB34"/>
    <mergeCell ref="BC33:BJ34"/>
    <mergeCell ref="K35:V36"/>
    <mergeCell ref="W35:AH36"/>
    <mergeCell ref="AI35:AT36"/>
    <mergeCell ref="K37:V38"/>
    <mergeCell ref="W37:AH38"/>
    <mergeCell ref="K45:V46"/>
    <mergeCell ref="W45:AH46"/>
    <mergeCell ref="AI45:AT46"/>
    <mergeCell ref="AU35:BB46"/>
    <mergeCell ref="BC35:BJ46"/>
    <mergeCell ref="AI41:AT42"/>
    <mergeCell ref="K43:V44"/>
    <mergeCell ref="W43:AH44"/>
    <mergeCell ref="AI43:AT44"/>
    <mergeCell ref="K39:V40"/>
    <mergeCell ref="BA50:BJ51"/>
    <mergeCell ref="E50:X51"/>
    <mergeCell ref="Y50:AL51"/>
    <mergeCell ref="AM50:AZ51"/>
    <mergeCell ref="E52:X53"/>
    <mergeCell ref="Y52:AL53"/>
    <mergeCell ref="AM52:AZ53"/>
    <mergeCell ref="BA52:BJ53"/>
    <mergeCell ref="E54:X55"/>
    <mergeCell ref="Y54:AL55"/>
    <mergeCell ref="AM54:AZ55"/>
    <mergeCell ref="BA54:BJ55"/>
    <mergeCell ref="C57:D58"/>
    <mergeCell ref="E57:BJ58"/>
    <mergeCell ref="L68:L69"/>
    <mergeCell ref="L72:L73"/>
    <mergeCell ref="M66:AG67"/>
    <mergeCell ref="E59:BJ62"/>
    <mergeCell ref="C64:D65"/>
    <mergeCell ref="E64:BJ65"/>
    <mergeCell ref="L66:L67"/>
    <mergeCell ref="AH66:AN67"/>
    <mergeCell ref="AP66:BJ67"/>
    <mergeCell ref="AH70:AN71"/>
    <mergeCell ref="AO68:AO69"/>
    <mergeCell ref="M72:AG73"/>
    <mergeCell ref="AH72:AN73"/>
    <mergeCell ref="AO72:AO73"/>
    <mergeCell ref="AP72:BJ73"/>
    <mergeCell ref="AH74:AN75"/>
    <mergeCell ref="AO74:AO75"/>
    <mergeCell ref="E74:K75"/>
    <mergeCell ref="L74:L75"/>
    <mergeCell ref="AH68:AN69"/>
    <mergeCell ref="AO66:AO67"/>
    <mergeCell ref="E66:K67"/>
    <mergeCell ref="E68:K69"/>
    <mergeCell ref="E70:K71"/>
    <mergeCell ref="E72:K73"/>
  </mergeCells>
  <printOptions horizontalCentered="1"/>
  <pageMargins left="0.59055118110236227" right="0.59055118110236227" top="0.55118110236220474" bottom="0.47244094488188981"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FC56-AC9B-4DCE-B76B-05868FE03277}">
  <dimension ref="A1:BK110"/>
  <sheetViews>
    <sheetView tabSelected="1" zoomScaleNormal="100" workbookViewId="0">
      <selection sqref="A1:BK5"/>
    </sheetView>
  </sheetViews>
  <sheetFormatPr defaultRowHeight="13.5" x14ac:dyDescent="0.25"/>
  <cols>
    <col min="1" max="63" width="1.42578125" style="1" customWidth="1"/>
    <col min="64" max="16384" width="9.140625" style="1"/>
  </cols>
  <sheetData>
    <row r="1" spans="1:63" ht="6.95" customHeight="1" x14ac:dyDescent="0.25">
      <c r="A1" s="55" t="s">
        <v>40</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row>
    <row r="2" spans="1:63" ht="6.95" customHeight="1" x14ac:dyDescent="0.25">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row>
    <row r="3" spans="1:63" ht="6.95" customHeight="1"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row>
    <row r="4" spans="1:63" ht="6.95" customHeigh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row>
    <row r="5" spans="1:63" ht="6.95" customHeight="1"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row>
    <row r="6" spans="1:63" ht="6.95" customHeight="1" x14ac:dyDescent="0.25"/>
    <row r="7" spans="1:63" ht="6.95" customHeight="1" x14ac:dyDescent="0.25">
      <c r="C7" s="7" t="str">
        <f>"1."</f>
        <v>1.</v>
      </c>
      <c r="D7" s="7"/>
      <c r="E7" s="8" t="s">
        <v>39</v>
      </c>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row>
    <row r="8" spans="1:63" ht="6.95" customHeight="1" x14ac:dyDescent="0.25">
      <c r="C8" s="7"/>
      <c r="D8" s="7"/>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row>
    <row r="9" spans="1:63" ht="6.95" customHeight="1" x14ac:dyDescent="0.25">
      <c r="E9" s="60" t="s">
        <v>38</v>
      </c>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row>
    <row r="10" spans="1:63" ht="6.95" customHeight="1" x14ac:dyDescent="0.25">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row>
    <row r="11" spans="1:63" ht="6.95" customHeight="1" x14ac:dyDescent="0.25">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3" ht="6.95" customHeight="1" x14ac:dyDescent="0.25">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3" ht="6.95" customHeight="1" x14ac:dyDescent="0.25"/>
    <row r="14" spans="1:63" ht="6.95" customHeight="1" x14ac:dyDescent="0.25">
      <c r="C14" s="7" t="str">
        <f>"2."</f>
        <v>2.</v>
      </c>
      <c r="D14" s="7"/>
      <c r="E14" s="8" t="s">
        <v>37</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row>
    <row r="15" spans="1:63" ht="6.95" customHeight="1" x14ac:dyDescent="0.25">
      <c r="C15" s="7"/>
      <c r="D15" s="7"/>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row>
    <row r="16" spans="1:63" ht="6.95" customHeight="1" x14ac:dyDescent="0.25">
      <c r="E16" s="5" t="s">
        <v>36</v>
      </c>
      <c r="F16" s="5"/>
      <c r="G16" s="5"/>
      <c r="H16" s="5"/>
      <c r="I16" s="5"/>
      <c r="J16" s="5"/>
      <c r="K16" s="5"/>
      <c r="L16" s="5"/>
      <c r="M16" s="5"/>
      <c r="N16" s="5"/>
      <c r="O16" s="5"/>
      <c r="P16" s="5"/>
      <c r="Q16" s="5"/>
      <c r="R16" s="6" t="s">
        <v>2</v>
      </c>
      <c r="S16" s="8" t="s">
        <v>41</v>
      </c>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row>
    <row r="17" spans="5:62" ht="6.95" customHeight="1" x14ac:dyDescent="0.25">
      <c r="E17" s="5"/>
      <c r="F17" s="5"/>
      <c r="G17" s="5"/>
      <c r="H17" s="5"/>
      <c r="I17" s="5"/>
      <c r="J17" s="5"/>
      <c r="K17" s="5"/>
      <c r="L17" s="5"/>
      <c r="M17" s="5"/>
      <c r="N17" s="5"/>
      <c r="O17" s="5"/>
      <c r="P17" s="5"/>
      <c r="Q17" s="5"/>
      <c r="R17" s="6"/>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row>
    <row r="18" spans="5:62" ht="6.95" customHeight="1" x14ac:dyDescent="0.25">
      <c r="E18" s="5" t="s">
        <v>34</v>
      </c>
      <c r="F18" s="5"/>
      <c r="G18" s="5"/>
      <c r="H18" s="5"/>
      <c r="I18" s="5"/>
      <c r="J18" s="5"/>
      <c r="K18" s="5"/>
      <c r="L18" s="5"/>
      <c r="M18" s="5"/>
      <c r="N18" s="5"/>
      <c r="O18" s="5"/>
      <c r="P18" s="5"/>
      <c r="Q18" s="5"/>
      <c r="R18" s="6" t="s">
        <v>2</v>
      </c>
      <c r="S18" s="8" t="s">
        <v>42</v>
      </c>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row>
    <row r="19" spans="5:62" ht="6.95" customHeight="1" x14ac:dyDescent="0.25">
      <c r="E19" s="5"/>
      <c r="F19" s="5"/>
      <c r="G19" s="5"/>
      <c r="H19" s="5"/>
      <c r="I19" s="5"/>
      <c r="J19" s="5"/>
      <c r="K19" s="5"/>
      <c r="L19" s="5"/>
      <c r="M19" s="5"/>
      <c r="N19" s="5"/>
      <c r="O19" s="5"/>
      <c r="P19" s="5"/>
      <c r="Q19" s="5"/>
      <c r="R19" s="6"/>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5:62" ht="6.95" customHeight="1" x14ac:dyDescent="0.25">
      <c r="E20" s="5" t="s">
        <v>32</v>
      </c>
      <c r="F20" s="5"/>
      <c r="G20" s="5"/>
      <c r="H20" s="5"/>
      <c r="I20" s="5"/>
      <c r="J20" s="5"/>
      <c r="K20" s="5"/>
      <c r="L20" s="5"/>
      <c r="M20" s="5"/>
      <c r="N20" s="5"/>
      <c r="O20" s="5"/>
      <c r="P20" s="5"/>
      <c r="Q20" s="5"/>
      <c r="R20" s="6" t="s">
        <v>2</v>
      </c>
      <c r="S20" s="8">
        <v>6</v>
      </c>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5:62" ht="6.95" customHeight="1" x14ac:dyDescent="0.25">
      <c r="E21" s="5"/>
      <c r="F21" s="5"/>
      <c r="G21" s="5"/>
      <c r="H21" s="5"/>
      <c r="I21" s="5"/>
      <c r="J21" s="5"/>
      <c r="K21" s="5"/>
      <c r="L21" s="5"/>
      <c r="M21" s="5"/>
      <c r="N21" s="5"/>
      <c r="O21" s="5"/>
      <c r="P21" s="5"/>
      <c r="Q21" s="5"/>
      <c r="R21" s="6"/>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5:62" ht="6.95" customHeight="1" x14ac:dyDescent="0.25">
      <c r="E22" s="5" t="s">
        <v>31</v>
      </c>
      <c r="F22" s="5"/>
      <c r="G22" s="5"/>
      <c r="H22" s="5"/>
      <c r="I22" s="5"/>
      <c r="J22" s="5"/>
      <c r="K22" s="5"/>
      <c r="L22" s="5"/>
      <c r="M22" s="5"/>
      <c r="N22" s="5"/>
      <c r="O22" s="5"/>
      <c r="P22" s="5"/>
      <c r="Q22" s="5"/>
      <c r="R22" s="6" t="s">
        <v>2</v>
      </c>
      <c r="S22" s="8" t="s">
        <v>43</v>
      </c>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5:62" ht="6.95" customHeight="1" x14ac:dyDescent="0.25">
      <c r="E23" s="5"/>
      <c r="F23" s="5"/>
      <c r="G23" s="5"/>
      <c r="H23" s="5"/>
      <c r="I23" s="5"/>
      <c r="J23" s="5"/>
      <c r="K23" s="5"/>
      <c r="L23" s="5"/>
      <c r="M23" s="5"/>
      <c r="N23" s="5"/>
      <c r="O23" s="5"/>
      <c r="P23" s="5"/>
      <c r="Q23" s="5"/>
      <c r="R23" s="6"/>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5:62" ht="6.95" customHeight="1" x14ac:dyDescent="0.25">
      <c r="S24" s="8" t="s">
        <v>44</v>
      </c>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5:62" ht="6.95" customHeight="1" x14ac:dyDescent="0.25">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5:62" ht="6.95" customHeight="1" x14ac:dyDescent="0.25">
      <c r="S26" s="8" t="s">
        <v>45</v>
      </c>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5:62" ht="6.95" customHeight="1" x14ac:dyDescent="0.25">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5:62" ht="6.95" customHeight="1" x14ac:dyDescent="0.25">
      <c r="S28" s="8" t="s">
        <v>46</v>
      </c>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5:62" ht="6.95" customHeight="1" x14ac:dyDescent="0.25">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5:62" ht="6.95" customHeight="1" x14ac:dyDescent="0.25">
      <c r="E30" s="5" t="s">
        <v>28</v>
      </c>
      <c r="F30" s="5"/>
      <c r="G30" s="5"/>
      <c r="H30" s="5"/>
      <c r="I30" s="5"/>
      <c r="J30" s="5"/>
      <c r="K30" s="5"/>
      <c r="L30" s="5"/>
      <c r="M30" s="5"/>
      <c r="N30" s="5"/>
      <c r="O30" s="5"/>
      <c r="P30" s="5"/>
      <c r="Q30" s="5"/>
      <c r="R30" s="6" t="s">
        <v>2</v>
      </c>
      <c r="S30" s="8" t="s">
        <v>65</v>
      </c>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5:62" ht="6.95" customHeight="1" x14ac:dyDescent="0.25">
      <c r="E31" s="5"/>
      <c r="F31" s="5"/>
      <c r="G31" s="5"/>
      <c r="H31" s="5"/>
      <c r="I31" s="5"/>
      <c r="J31" s="5"/>
      <c r="K31" s="5"/>
      <c r="L31" s="5"/>
      <c r="M31" s="5"/>
      <c r="N31" s="5"/>
      <c r="O31" s="5"/>
      <c r="P31" s="5"/>
      <c r="Q31" s="5"/>
      <c r="R31" s="6"/>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5:62" ht="6.95" customHeight="1" x14ac:dyDescent="0.25">
      <c r="S32" s="8" t="s">
        <v>48</v>
      </c>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3:62" ht="6.95" customHeight="1" x14ac:dyDescent="0.25">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3:62" ht="6.95" customHeight="1" x14ac:dyDescent="0.25">
      <c r="S34" s="8" t="s">
        <v>49</v>
      </c>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3:62" ht="6.95" customHeight="1" x14ac:dyDescent="0.25">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3:62" ht="6.95" customHeight="1" x14ac:dyDescent="0.25"/>
    <row r="37" spans="3:62" ht="6.95" customHeight="1" x14ac:dyDescent="0.25">
      <c r="C37" s="7" t="str">
        <f>"3."</f>
        <v>3.</v>
      </c>
      <c r="D37" s="7"/>
      <c r="E37" s="8" t="s">
        <v>27</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3:62" ht="6.95" customHeight="1" x14ac:dyDescent="0.25">
      <c r="C38" s="7"/>
      <c r="D38" s="7"/>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3:62" ht="6.95" customHeight="1" x14ac:dyDescent="0.25">
      <c r="E39" s="65" t="s">
        <v>24</v>
      </c>
      <c r="F39" s="65"/>
      <c r="G39" s="65"/>
      <c r="H39" s="65"/>
      <c r="I39" s="65"/>
      <c r="J39" s="65"/>
      <c r="K39" s="65" t="s">
        <v>50</v>
      </c>
      <c r="L39" s="65"/>
      <c r="M39" s="65"/>
      <c r="N39" s="65"/>
      <c r="O39" s="65"/>
      <c r="P39" s="65"/>
      <c r="Q39" s="65"/>
      <c r="R39" s="65"/>
      <c r="S39" s="65"/>
      <c r="T39" s="65"/>
      <c r="U39" s="65"/>
      <c r="V39" s="65"/>
      <c r="W39" s="65"/>
      <c r="X39" s="65" t="s">
        <v>51</v>
      </c>
      <c r="Y39" s="65"/>
      <c r="Z39" s="65"/>
      <c r="AA39" s="65"/>
      <c r="AB39" s="65"/>
      <c r="AC39" s="65"/>
      <c r="AD39" s="65"/>
      <c r="AE39" s="65"/>
      <c r="AF39" s="65"/>
      <c r="AG39" s="65"/>
      <c r="AH39" s="65"/>
      <c r="AI39" s="65"/>
      <c r="AJ39" s="65"/>
      <c r="AK39" s="65" t="s">
        <v>52</v>
      </c>
      <c r="AL39" s="65"/>
      <c r="AM39" s="65"/>
      <c r="AN39" s="65"/>
      <c r="AO39" s="65"/>
      <c r="AP39" s="65"/>
      <c r="AQ39" s="65"/>
      <c r="AR39" s="65"/>
      <c r="AS39" s="65"/>
      <c r="AT39" s="65"/>
      <c r="AU39" s="65"/>
      <c r="AV39" s="65"/>
      <c r="AW39" s="65"/>
      <c r="AX39" s="65" t="s">
        <v>53</v>
      </c>
      <c r="AY39" s="65"/>
      <c r="AZ39" s="65"/>
      <c r="BA39" s="65"/>
      <c r="BB39" s="65"/>
      <c r="BC39" s="65"/>
      <c r="BD39" s="65"/>
      <c r="BE39" s="65"/>
      <c r="BF39" s="65"/>
      <c r="BG39" s="65"/>
      <c r="BH39" s="65"/>
      <c r="BI39" s="65"/>
      <c r="BJ39" s="65"/>
    </row>
    <row r="40" spans="3:62" ht="6.95" customHeight="1" x14ac:dyDescent="0.2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row>
    <row r="41" spans="3:62" ht="6.95" customHeight="1" x14ac:dyDescent="0.25">
      <c r="E41" s="64">
        <v>1</v>
      </c>
      <c r="F41" s="64"/>
      <c r="G41" s="64"/>
      <c r="H41" s="64"/>
      <c r="I41" s="64"/>
      <c r="J41" s="64"/>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t="str">
        <f>IF(OR(K41="",X41="",AK41=""),"",100-K41-X41-AK41)</f>
        <v/>
      </c>
      <c r="AY41" s="62"/>
      <c r="AZ41" s="62"/>
      <c r="BA41" s="62"/>
      <c r="BB41" s="62"/>
      <c r="BC41" s="62"/>
      <c r="BD41" s="62"/>
      <c r="BE41" s="62"/>
      <c r="BF41" s="62"/>
      <c r="BG41" s="62"/>
      <c r="BH41" s="62"/>
      <c r="BI41" s="62"/>
      <c r="BJ41" s="62"/>
    </row>
    <row r="42" spans="3:62" ht="6.95" customHeight="1" x14ac:dyDescent="0.25">
      <c r="E42" s="64"/>
      <c r="F42" s="64"/>
      <c r="G42" s="64"/>
      <c r="H42" s="64"/>
      <c r="I42" s="64"/>
      <c r="J42" s="64"/>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row>
    <row r="43" spans="3:62" ht="6.95" customHeight="1" x14ac:dyDescent="0.25">
      <c r="E43" s="64">
        <v>2</v>
      </c>
      <c r="F43" s="64"/>
      <c r="G43" s="64"/>
      <c r="H43" s="64"/>
      <c r="I43" s="64"/>
      <c r="J43" s="64"/>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t="str">
        <f t="shared" ref="AX43:AX52" si="0">IF(OR(K43="",X43="",AK43=""),"",100-K43-X43-AK43)</f>
        <v/>
      </c>
      <c r="AY43" s="62"/>
      <c r="AZ43" s="62"/>
      <c r="BA43" s="62"/>
      <c r="BB43" s="62"/>
      <c r="BC43" s="62"/>
      <c r="BD43" s="62"/>
      <c r="BE43" s="62"/>
      <c r="BF43" s="62"/>
      <c r="BG43" s="62"/>
      <c r="BH43" s="62"/>
      <c r="BI43" s="62"/>
      <c r="BJ43" s="62"/>
    </row>
    <row r="44" spans="3:62" ht="6.95" customHeight="1" x14ac:dyDescent="0.25">
      <c r="E44" s="64"/>
      <c r="F44" s="64"/>
      <c r="G44" s="64"/>
      <c r="H44" s="64"/>
      <c r="I44" s="64"/>
      <c r="J44" s="64"/>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row>
    <row r="45" spans="3:62" ht="6.95" customHeight="1" x14ac:dyDescent="0.25">
      <c r="E45" s="64">
        <v>3</v>
      </c>
      <c r="F45" s="64"/>
      <c r="G45" s="64"/>
      <c r="H45" s="64"/>
      <c r="I45" s="64"/>
      <c r="J45" s="64"/>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t="str">
        <f t="shared" ref="AX45:AX52" si="1">IF(OR(K45="",X45="",AK45=""),"",100-K45-X45-AK45)</f>
        <v/>
      </c>
      <c r="AY45" s="62"/>
      <c r="AZ45" s="62"/>
      <c r="BA45" s="62"/>
      <c r="BB45" s="62"/>
      <c r="BC45" s="62"/>
      <c r="BD45" s="62"/>
      <c r="BE45" s="62"/>
      <c r="BF45" s="62"/>
      <c r="BG45" s="62"/>
      <c r="BH45" s="62"/>
      <c r="BI45" s="62"/>
      <c r="BJ45" s="62"/>
    </row>
    <row r="46" spans="3:62" ht="6.95" customHeight="1" x14ac:dyDescent="0.25">
      <c r="E46" s="64"/>
      <c r="F46" s="64"/>
      <c r="G46" s="64"/>
      <c r="H46" s="64"/>
      <c r="I46" s="64"/>
      <c r="J46" s="64"/>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row>
    <row r="47" spans="3:62" ht="6.95" customHeight="1" x14ac:dyDescent="0.25">
      <c r="E47" s="64">
        <v>4</v>
      </c>
      <c r="F47" s="64"/>
      <c r="G47" s="64"/>
      <c r="H47" s="64"/>
      <c r="I47" s="64"/>
      <c r="J47" s="64"/>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t="str">
        <f t="shared" ref="AX47:AX52" si="2">IF(OR(K47="",X47="",AK47=""),"",100-K47-X47-AK47)</f>
        <v/>
      </c>
      <c r="AY47" s="62"/>
      <c r="AZ47" s="62"/>
      <c r="BA47" s="62"/>
      <c r="BB47" s="62"/>
      <c r="BC47" s="62"/>
      <c r="BD47" s="62"/>
      <c r="BE47" s="62"/>
      <c r="BF47" s="62"/>
      <c r="BG47" s="62"/>
      <c r="BH47" s="62"/>
      <c r="BI47" s="62"/>
      <c r="BJ47" s="62"/>
    </row>
    <row r="48" spans="3:62" ht="6.95" customHeight="1" x14ac:dyDescent="0.25">
      <c r="E48" s="64"/>
      <c r="F48" s="64"/>
      <c r="G48" s="64"/>
      <c r="H48" s="64"/>
      <c r="I48" s="64"/>
      <c r="J48" s="64"/>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row>
    <row r="49" spans="5:62" ht="6.95" customHeight="1" x14ac:dyDescent="0.25">
      <c r="E49" s="64">
        <v>5</v>
      </c>
      <c r="F49" s="64"/>
      <c r="G49" s="64"/>
      <c r="H49" s="64"/>
      <c r="I49" s="64"/>
      <c r="J49" s="64"/>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t="str">
        <f t="shared" ref="AX49:AX52" si="3">IF(OR(K49="",X49="",AK49=""),"",100-K49-X49-AK49)</f>
        <v/>
      </c>
      <c r="AY49" s="62"/>
      <c r="AZ49" s="62"/>
      <c r="BA49" s="62"/>
      <c r="BB49" s="62"/>
      <c r="BC49" s="62"/>
      <c r="BD49" s="62"/>
      <c r="BE49" s="62"/>
      <c r="BF49" s="62"/>
      <c r="BG49" s="62"/>
      <c r="BH49" s="62"/>
      <c r="BI49" s="62"/>
      <c r="BJ49" s="62"/>
    </row>
    <row r="50" spans="5:62" ht="6.95" customHeight="1" x14ac:dyDescent="0.25">
      <c r="E50" s="64"/>
      <c r="F50" s="64"/>
      <c r="G50" s="64"/>
      <c r="H50" s="64"/>
      <c r="I50" s="64"/>
      <c r="J50" s="64"/>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row>
    <row r="51" spans="5:62" ht="6.95" customHeight="1" x14ac:dyDescent="0.25">
      <c r="E51" s="64">
        <v>6</v>
      </c>
      <c r="F51" s="64"/>
      <c r="G51" s="64"/>
      <c r="H51" s="64"/>
      <c r="I51" s="64"/>
      <c r="J51" s="64"/>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t="str">
        <f t="shared" ref="AX51:AX52" si="4">IF(OR(K51="",X51="",AK51=""),"",100-K51-X51-AK51)</f>
        <v/>
      </c>
      <c r="AY51" s="62"/>
      <c r="AZ51" s="62"/>
      <c r="BA51" s="62"/>
      <c r="BB51" s="62"/>
      <c r="BC51" s="62"/>
      <c r="BD51" s="62"/>
      <c r="BE51" s="62"/>
      <c r="BF51" s="62"/>
      <c r="BG51" s="62"/>
      <c r="BH51" s="62"/>
      <c r="BI51" s="62"/>
      <c r="BJ51" s="62"/>
    </row>
    <row r="52" spans="5:62" ht="6.95" customHeight="1" x14ac:dyDescent="0.25">
      <c r="E52" s="64"/>
      <c r="F52" s="64"/>
      <c r="G52" s="64"/>
      <c r="H52" s="64"/>
      <c r="I52" s="64"/>
      <c r="J52" s="64"/>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row>
    <row r="53" spans="5:62" ht="6.95" customHeight="1" x14ac:dyDescent="0.25"/>
    <row r="54" spans="5:62" ht="6.95" customHeight="1" x14ac:dyDescent="0.25">
      <c r="E54" s="8" t="s">
        <v>54</v>
      </c>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5:62" ht="6.95" customHeight="1" x14ac:dyDescent="0.25">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5:62" ht="6.95" customHeight="1" x14ac:dyDescent="0.25">
      <c r="E56" s="65" t="s">
        <v>55</v>
      </c>
      <c r="F56" s="65"/>
      <c r="G56" s="65"/>
      <c r="H56" s="65"/>
      <c r="I56" s="65"/>
      <c r="J56" s="65"/>
      <c r="K56" s="65"/>
      <c r="L56" s="65"/>
      <c r="M56" s="65"/>
      <c r="N56" s="65"/>
      <c r="O56" s="65"/>
      <c r="P56" s="65"/>
      <c r="Q56" s="65"/>
      <c r="R56" s="65" t="s">
        <v>56</v>
      </c>
      <c r="S56" s="65"/>
      <c r="T56" s="65"/>
      <c r="U56" s="65"/>
      <c r="V56" s="65"/>
      <c r="W56" s="65"/>
      <c r="X56" s="65"/>
      <c r="Y56" s="65"/>
      <c r="Z56" s="65"/>
      <c r="AA56" s="65" t="s">
        <v>57</v>
      </c>
      <c r="AB56" s="65"/>
      <c r="AC56" s="65"/>
      <c r="AD56" s="65"/>
      <c r="AE56" s="65"/>
      <c r="AF56" s="65"/>
      <c r="AG56" s="65"/>
      <c r="AH56" s="65"/>
      <c r="AI56" s="65"/>
      <c r="AJ56" s="65" t="s">
        <v>58</v>
      </c>
      <c r="AK56" s="65"/>
      <c r="AL56" s="65"/>
      <c r="AM56" s="65"/>
      <c r="AN56" s="65"/>
      <c r="AO56" s="65"/>
      <c r="AP56" s="65"/>
      <c r="AQ56" s="65"/>
      <c r="AR56" s="65"/>
      <c r="AS56" s="65" t="s">
        <v>60</v>
      </c>
      <c r="AT56" s="65"/>
      <c r="AU56" s="65"/>
      <c r="AV56" s="65"/>
      <c r="AW56" s="65"/>
      <c r="AX56" s="65"/>
      <c r="AY56" s="65"/>
      <c r="AZ56" s="65"/>
      <c r="BA56" s="65"/>
      <c r="BB56" s="65" t="s">
        <v>59</v>
      </c>
      <c r="BC56" s="65"/>
      <c r="BD56" s="65"/>
      <c r="BE56" s="65"/>
      <c r="BF56" s="65"/>
      <c r="BG56" s="65"/>
      <c r="BH56" s="65"/>
      <c r="BI56" s="65"/>
      <c r="BJ56" s="65"/>
    </row>
    <row r="57" spans="5:62" ht="6.95" customHeight="1" x14ac:dyDescent="0.2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row>
    <row r="58" spans="5:62" ht="6.95" customHeight="1" x14ac:dyDescent="0.25">
      <c r="E58" s="61" t="s">
        <v>61</v>
      </c>
      <c r="F58" s="61"/>
      <c r="G58" s="61"/>
      <c r="H58" s="61"/>
      <c r="I58" s="61"/>
      <c r="J58" s="61"/>
      <c r="K58" s="61"/>
      <c r="L58" s="61"/>
      <c r="M58" s="61"/>
      <c r="N58" s="61"/>
      <c r="O58" s="61"/>
      <c r="P58" s="61"/>
      <c r="Q58" s="61"/>
      <c r="R58" s="62" t="str">
        <f>IFERROR(ROUND(AVERAGE(K41:K52),2),"")</f>
        <v/>
      </c>
      <c r="S58" s="62"/>
      <c r="T58" s="62"/>
      <c r="U58" s="62"/>
      <c r="V58" s="62"/>
      <c r="W58" s="62"/>
      <c r="X58" s="62"/>
      <c r="Y58" s="62"/>
      <c r="Z58" s="62"/>
      <c r="AA58" s="62" t="str">
        <f>IFERROR(ROUND(_xlfn.STDEV.S(K41:K52),2),"")</f>
        <v/>
      </c>
      <c r="AB58" s="62"/>
      <c r="AC58" s="62"/>
      <c r="AD58" s="62"/>
      <c r="AE58" s="62"/>
      <c r="AF58" s="62"/>
      <c r="AG58" s="62"/>
      <c r="AH58" s="62"/>
      <c r="AI58" s="62"/>
      <c r="AJ58" s="63" t="str">
        <f>IFERROR(ROUND(100*AA58/R58,3),"")</f>
        <v/>
      </c>
      <c r="AK58" s="63"/>
      <c r="AL58" s="63"/>
      <c r="AM58" s="63"/>
      <c r="AN58" s="63"/>
      <c r="AO58" s="63"/>
      <c r="AP58" s="63"/>
      <c r="AQ58" s="63"/>
      <c r="AR58" s="63"/>
      <c r="AS58" s="64"/>
      <c r="AT58" s="64"/>
      <c r="AU58" s="64"/>
      <c r="AV58" s="64"/>
      <c r="AW58" s="64"/>
      <c r="AX58" s="64"/>
      <c r="AY58" s="64"/>
      <c r="AZ58" s="64"/>
      <c r="BA58" s="64"/>
      <c r="BB58" s="62" t="str">
        <f>IFERROR(ROUND(100*(R58-AS58)/AS58,3),"")</f>
        <v/>
      </c>
      <c r="BC58" s="62"/>
      <c r="BD58" s="62"/>
      <c r="BE58" s="62"/>
      <c r="BF58" s="62"/>
      <c r="BG58" s="62"/>
      <c r="BH58" s="62"/>
      <c r="BI58" s="62"/>
      <c r="BJ58" s="62"/>
    </row>
    <row r="59" spans="5:62" ht="6.95" customHeight="1" x14ac:dyDescent="0.25">
      <c r="E59" s="61"/>
      <c r="F59" s="61"/>
      <c r="G59" s="61"/>
      <c r="H59" s="61"/>
      <c r="I59" s="61"/>
      <c r="J59" s="61"/>
      <c r="K59" s="61"/>
      <c r="L59" s="61"/>
      <c r="M59" s="61"/>
      <c r="N59" s="61"/>
      <c r="O59" s="61"/>
      <c r="P59" s="61"/>
      <c r="Q59" s="61"/>
      <c r="R59" s="62"/>
      <c r="S59" s="62"/>
      <c r="T59" s="62"/>
      <c r="U59" s="62"/>
      <c r="V59" s="62"/>
      <c r="W59" s="62"/>
      <c r="X59" s="62"/>
      <c r="Y59" s="62"/>
      <c r="Z59" s="62"/>
      <c r="AA59" s="62"/>
      <c r="AB59" s="62"/>
      <c r="AC59" s="62"/>
      <c r="AD59" s="62"/>
      <c r="AE59" s="62"/>
      <c r="AF59" s="62"/>
      <c r="AG59" s="62"/>
      <c r="AH59" s="62"/>
      <c r="AI59" s="62"/>
      <c r="AJ59" s="63"/>
      <c r="AK59" s="63"/>
      <c r="AL59" s="63"/>
      <c r="AM59" s="63"/>
      <c r="AN59" s="63"/>
      <c r="AO59" s="63"/>
      <c r="AP59" s="63"/>
      <c r="AQ59" s="63"/>
      <c r="AR59" s="63"/>
      <c r="AS59" s="64"/>
      <c r="AT59" s="64"/>
      <c r="AU59" s="64"/>
      <c r="AV59" s="64"/>
      <c r="AW59" s="64"/>
      <c r="AX59" s="64"/>
      <c r="AY59" s="64"/>
      <c r="AZ59" s="64"/>
      <c r="BA59" s="64"/>
      <c r="BB59" s="62"/>
      <c r="BC59" s="62"/>
      <c r="BD59" s="62"/>
      <c r="BE59" s="62"/>
      <c r="BF59" s="62"/>
      <c r="BG59" s="62"/>
      <c r="BH59" s="62"/>
      <c r="BI59" s="62"/>
      <c r="BJ59" s="62"/>
    </row>
    <row r="60" spans="5:62" ht="6.95" customHeight="1" x14ac:dyDescent="0.25">
      <c r="E60" s="61" t="s">
        <v>62</v>
      </c>
      <c r="F60" s="61"/>
      <c r="G60" s="61"/>
      <c r="H60" s="61"/>
      <c r="I60" s="61"/>
      <c r="J60" s="61"/>
      <c r="K60" s="61"/>
      <c r="L60" s="61"/>
      <c r="M60" s="61"/>
      <c r="N60" s="61"/>
      <c r="O60" s="61"/>
      <c r="P60" s="61"/>
      <c r="Q60" s="61"/>
      <c r="R60" s="62" t="str">
        <f>IFERROR(ROUND(AVERAGE(X41:X52),2),"")</f>
        <v/>
      </c>
      <c r="S60" s="62"/>
      <c r="T60" s="62"/>
      <c r="U60" s="62"/>
      <c r="V60" s="62"/>
      <c r="W60" s="62"/>
      <c r="X60" s="62"/>
      <c r="Y60" s="62"/>
      <c r="Z60" s="62"/>
      <c r="AA60" s="62" t="str">
        <f>IFERROR(ROUND(_xlfn.STDEV.S(X41:X52),2),"")</f>
        <v/>
      </c>
      <c r="AB60" s="62"/>
      <c r="AC60" s="62"/>
      <c r="AD60" s="62"/>
      <c r="AE60" s="62"/>
      <c r="AF60" s="62"/>
      <c r="AG60" s="62"/>
      <c r="AH60" s="62"/>
      <c r="AI60" s="62"/>
      <c r="AJ60" s="63" t="str">
        <f>IFERROR(ROUND(100*AA60/R60,3),"")</f>
        <v/>
      </c>
      <c r="AK60" s="63"/>
      <c r="AL60" s="63"/>
      <c r="AM60" s="63"/>
      <c r="AN60" s="63"/>
      <c r="AO60" s="63"/>
      <c r="AP60" s="63"/>
      <c r="AQ60" s="63"/>
      <c r="AR60" s="63"/>
      <c r="AS60" s="64"/>
      <c r="AT60" s="64"/>
      <c r="AU60" s="64"/>
      <c r="AV60" s="64"/>
      <c r="AW60" s="64"/>
      <c r="AX60" s="64"/>
      <c r="AY60" s="64"/>
      <c r="AZ60" s="64"/>
      <c r="BA60" s="64"/>
      <c r="BB60" s="62" t="str">
        <f t="shared" ref="BB60:BB63" si="5">IFERROR(ROUND(100*(R60-AS60)/AS60,3),"")</f>
        <v/>
      </c>
      <c r="BC60" s="62"/>
      <c r="BD60" s="62"/>
      <c r="BE60" s="62"/>
      <c r="BF60" s="62"/>
      <c r="BG60" s="62"/>
      <c r="BH60" s="62"/>
      <c r="BI60" s="62"/>
      <c r="BJ60" s="62"/>
    </row>
    <row r="61" spans="5:62" ht="6.95" customHeight="1" x14ac:dyDescent="0.25">
      <c r="E61" s="61"/>
      <c r="F61" s="61"/>
      <c r="G61" s="61"/>
      <c r="H61" s="61"/>
      <c r="I61" s="61"/>
      <c r="J61" s="61"/>
      <c r="K61" s="61"/>
      <c r="L61" s="61"/>
      <c r="M61" s="61"/>
      <c r="N61" s="61"/>
      <c r="O61" s="61"/>
      <c r="P61" s="61"/>
      <c r="Q61" s="61"/>
      <c r="R61" s="62"/>
      <c r="S61" s="62"/>
      <c r="T61" s="62"/>
      <c r="U61" s="62"/>
      <c r="V61" s="62"/>
      <c r="W61" s="62"/>
      <c r="X61" s="62"/>
      <c r="Y61" s="62"/>
      <c r="Z61" s="62"/>
      <c r="AA61" s="62"/>
      <c r="AB61" s="62"/>
      <c r="AC61" s="62"/>
      <c r="AD61" s="62"/>
      <c r="AE61" s="62"/>
      <c r="AF61" s="62"/>
      <c r="AG61" s="62"/>
      <c r="AH61" s="62"/>
      <c r="AI61" s="62"/>
      <c r="AJ61" s="63"/>
      <c r="AK61" s="63"/>
      <c r="AL61" s="63"/>
      <c r="AM61" s="63"/>
      <c r="AN61" s="63"/>
      <c r="AO61" s="63"/>
      <c r="AP61" s="63"/>
      <c r="AQ61" s="63"/>
      <c r="AR61" s="63"/>
      <c r="AS61" s="64"/>
      <c r="AT61" s="64"/>
      <c r="AU61" s="64"/>
      <c r="AV61" s="64"/>
      <c r="AW61" s="64"/>
      <c r="AX61" s="64"/>
      <c r="AY61" s="64"/>
      <c r="AZ61" s="64"/>
      <c r="BA61" s="64"/>
      <c r="BB61" s="62"/>
      <c r="BC61" s="62"/>
      <c r="BD61" s="62"/>
      <c r="BE61" s="62"/>
      <c r="BF61" s="62"/>
      <c r="BG61" s="62"/>
      <c r="BH61" s="62"/>
      <c r="BI61" s="62"/>
      <c r="BJ61" s="62"/>
    </row>
    <row r="62" spans="5:62" ht="6.95" customHeight="1" x14ac:dyDescent="0.25">
      <c r="E62" s="61" t="s">
        <v>63</v>
      </c>
      <c r="F62" s="61"/>
      <c r="G62" s="61"/>
      <c r="H62" s="61"/>
      <c r="I62" s="61"/>
      <c r="J62" s="61"/>
      <c r="K62" s="61"/>
      <c r="L62" s="61"/>
      <c r="M62" s="61"/>
      <c r="N62" s="61"/>
      <c r="O62" s="61"/>
      <c r="P62" s="61"/>
      <c r="Q62" s="61"/>
      <c r="R62" s="62" t="str">
        <f>IFERROR(ROUND(AVERAGE(AK41:AK52),2),"")</f>
        <v/>
      </c>
      <c r="S62" s="62"/>
      <c r="T62" s="62"/>
      <c r="U62" s="62"/>
      <c r="V62" s="62"/>
      <c r="W62" s="62"/>
      <c r="X62" s="62"/>
      <c r="Y62" s="62"/>
      <c r="Z62" s="62"/>
      <c r="AA62" s="62" t="str">
        <f>IFERROR(ROUND(_xlfn.STDEV.S(AK41:AK52),2),"")</f>
        <v/>
      </c>
      <c r="AB62" s="62"/>
      <c r="AC62" s="62"/>
      <c r="AD62" s="62"/>
      <c r="AE62" s="62"/>
      <c r="AF62" s="62"/>
      <c r="AG62" s="62"/>
      <c r="AH62" s="62"/>
      <c r="AI62" s="62"/>
      <c r="AJ62" s="63" t="str">
        <f>IFERROR(ROUND(100*AA62/R62,3),"")</f>
        <v/>
      </c>
      <c r="AK62" s="63"/>
      <c r="AL62" s="63"/>
      <c r="AM62" s="63"/>
      <c r="AN62" s="63"/>
      <c r="AO62" s="63"/>
      <c r="AP62" s="63"/>
      <c r="AQ62" s="63"/>
      <c r="AR62" s="63"/>
      <c r="AS62" s="64"/>
      <c r="AT62" s="64"/>
      <c r="AU62" s="64"/>
      <c r="AV62" s="64"/>
      <c r="AW62" s="64"/>
      <c r="AX62" s="64"/>
      <c r="AY62" s="64"/>
      <c r="AZ62" s="64"/>
      <c r="BA62" s="64"/>
      <c r="BB62" s="62" t="str">
        <f t="shared" ref="BB62:BB63" si="6">IFERROR(ROUND(100*(R62-AS62)/AS62,3),"")</f>
        <v/>
      </c>
      <c r="BC62" s="62"/>
      <c r="BD62" s="62"/>
      <c r="BE62" s="62"/>
      <c r="BF62" s="62"/>
      <c r="BG62" s="62"/>
      <c r="BH62" s="62"/>
      <c r="BI62" s="62"/>
      <c r="BJ62" s="62"/>
    </row>
    <row r="63" spans="5:62" ht="6.95" customHeight="1" x14ac:dyDescent="0.25">
      <c r="E63" s="61"/>
      <c r="F63" s="61"/>
      <c r="G63" s="61"/>
      <c r="H63" s="61"/>
      <c r="I63" s="61"/>
      <c r="J63" s="61"/>
      <c r="K63" s="61"/>
      <c r="L63" s="61"/>
      <c r="M63" s="61"/>
      <c r="N63" s="61"/>
      <c r="O63" s="61"/>
      <c r="P63" s="61"/>
      <c r="Q63" s="61"/>
      <c r="R63" s="62"/>
      <c r="S63" s="62"/>
      <c r="T63" s="62"/>
      <c r="U63" s="62"/>
      <c r="V63" s="62"/>
      <c r="W63" s="62"/>
      <c r="X63" s="62"/>
      <c r="Y63" s="62"/>
      <c r="Z63" s="62"/>
      <c r="AA63" s="62"/>
      <c r="AB63" s="62"/>
      <c r="AC63" s="62"/>
      <c r="AD63" s="62"/>
      <c r="AE63" s="62"/>
      <c r="AF63" s="62"/>
      <c r="AG63" s="62"/>
      <c r="AH63" s="62"/>
      <c r="AI63" s="62"/>
      <c r="AJ63" s="63"/>
      <c r="AK63" s="63"/>
      <c r="AL63" s="63"/>
      <c r="AM63" s="63"/>
      <c r="AN63" s="63"/>
      <c r="AO63" s="63"/>
      <c r="AP63" s="63"/>
      <c r="AQ63" s="63"/>
      <c r="AR63" s="63"/>
      <c r="AS63" s="64"/>
      <c r="AT63" s="64"/>
      <c r="AU63" s="64"/>
      <c r="AV63" s="64"/>
      <c r="AW63" s="64"/>
      <c r="AX63" s="64"/>
      <c r="AY63" s="64"/>
      <c r="AZ63" s="64"/>
      <c r="BA63" s="64"/>
      <c r="BB63" s="62"/>
      <c r="BC63" s="62"/>
      <c r="BD63" s="62"/>
      <c r="BE63" s="62"/>
      <c r="BF63" s="62"/>
      <c r="BG63" s="62"/>
      <c r="BH63" s="62"/>
      <c r="BI63" s="62"/>
      <c r="BJ63" s="62"/>
    </row>
    <row r="64" spans="5:62" ht="6.95" customHeight="1" x14ac:dyDescent="0.25">
      <c r="E64" s="61" t="s">
        <v>64</v>
      </c>
      <c r="F64" s="61"/>
      <c r="G64" s="61"/>
      <c r="H64" s="61"/>
      <c r="I64" s="61"/>
      <c r="J64" s="61"/>
      <c r="K64" s="61"/>
      <c r="L64" s="61"/>
      <c r="M64" s="61"/>
      <c r="N64" s="61"/>
      <c r="O64" s="61"/>
      <c r="P64" s="61"/>
      <c r="Q64" s="61"/>
      <c r="R64" s="62" t="str">
        <f>IFERROR(ROUND(AVERAGE(AX41:AX52),2),"")</f>
        <v/>
      </c>
      <c r="S64" s="62"/>
      <c r="T64" s="62"/>
      <c r="U64" s="62"/>
      <c r="V64" s="62"/>
      <c r="W64" s="62"/>
      <c r="X64" s="62"/>
      <c r="Y64" s="62"/>
      <c r="Z64" s="62"/>
      <c r="AA64" s="62" t="str">
        <f>IFERROR(ROUND(_xlfn.STDEV.S(AX41:AX52),2),"")</f>
        <v/>
      </c>
      <c r="AB64" s="62"/>
      <c r="AC64" s="62"/>
      <c r="AD64" s="62"/>
      <c r="AE64" s="62"/>
      <c r="AF64" s="62"/>
      <c r="AG64" s="62"/>
      <c r="AH64" s="62"/>
      <c r="AI64" s="62"/>
      <c r="AJ64" s="63" t="str">
        <f>IFERROR(ROUND(100*AA64/R64,3),"")</f>
        <v/>
      </c>
      <c r="AK64" s="63"/>
      <c r="AL64" s="63"/>
      <c r="AM64" s="63"/>
      <c r="AN64" s="63"/>
      <c r="AO64" s="63"/>
      <c r="AP64" s="63"/>
      <c r="AQ64" s="63"/>
      <c r="AR64" s="63"/>
      <c r="AS64" s="64" t="str">
        <f>IF(AJ64="","","NA")</f>
        <v/>
      </c>
      <c r="AT64" s="64"/>
      <c r="AU64" s="64"/>
      <c r="AV64" s="64"/>
      <c r="AW64" s="64"/>
      <c r="AX64" s="64"/>
      <c r="AY64" s="64"/>
      <c r="AZ64" s="64"/>
      <c r="BA64" s="64"/>
      <c r="BB64" s="64" t="str">
        <f>IF(AS64="","","NA")</f>
        <v/>
      </c>
      <c r="BC64" s="64"/>
      <c r="BD64" s="64"/>
      <c r="BE64" s="64"/>
      <c r="BF64" s="64"/>
      <c r="BG64" s="64"/>
      <c r="BH64" s="64"/>
      <c r="BI64" s="64"/>
      <c r="BJ64" s="64"/>
    </row>
    <row r="65" spans="3:62" ht="6.95" customHeight="1" x14ac:dyDescent="0.25">
      <c r="E65" s="61"/>
      <c r="F65" s="61"/>
      <c r="G65" s="61"/>
      <c r="H65" s="61"/>
      <c r="I65" s="61"/>
      <c r="J65" s="61"/>
      <c r="K65" s="61"/>
      <c r="L65" s="61"/>
      <c r="M65" s="61"/>
      <c r="N65" s="61"/>
      <c r="O65" s="61"/>
      <c r="P65" s="61"/>
      <c r="Q65" s="61"/>
      <c r="R65" s="62"/>
      <c r="S65" s="62"/>
      <c r="T65" s="62"/>
      <c r="U65" s="62"/>
      <c r="V65" s="62"/>
      <c r="W65" s="62"/>
      <c r="X65" s="62"/>
      <c r="Y65" s="62"/>
      <c r="Z65" s="62"/>
      <c r="AA65" s="62"/>
      <c r="AB65" s="62"/>
      <c r="AC65" s="62"/>
      <c r="AD65" s="62"/>
      <c r="AE65" s="62"/>
      <c r="AF65" s="62"/>
      <c r="AG65" s="62"/>
      <c r="AH65" s="62"/>
      <c r="AI65" s="62"/>
      <c r="AJ65" s="63"/>
      <c r="AK65" s="63"/>
      <c r="AL65" s="63"/>
      <c r="AM65" s="63"/>
      <c r="AN65" s="63"/>
      <c r="AO65" s="63"/>
      <c r="AP65" s="63"/>
      <c r="AQ65" s="63"/>
      <c r="AR65" s="63"/>
      <c r="AS65" s="64"/>
      <c r="AT65" s="64"/>
      <c r="AU65" s="64"/>
      <c r="AV65" s="64"/>
      <c r="AW65" s="64"/>
      <c r="AX65" s="64"/>
      <c r="AY65" s="64"/>
      <c r="AZ65" s="64"/>
      <c r="BA65" s="64"/>
      <c r="BB65" s="64"/>
      <c r="BC65" s="64"/>
      <c r="BD65" s="64"/>
      <c r="BE65" s="64"/>
      <c r="BF65" s="64"/>
      <c r="BG65" s="64"/>
      <c r="BH65" s="64"/>
      <c r="BI65" s="64"/>
      <c r="BJ65" s="64"/>
    </row>
    <row r="66" spans="3:62" ht="6.95" customHeight="1" x14ac:dyDescent="0.25"/>
    <row r="67" spans="3:62" ht="6.95" customHeight="1" x14ac:dyDescent="0.25">
      <c r="C67" s="7" t="str">
        <f>"4."</f>
        <v>4.</v>
      </c>
      <c r="D67" s="7"/>
      <c r="E67" s="8" t="s">
        <v>18</v>
      </c>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3:62" ht="6.95" customHeight="1" x14ac:dyDescent="0.25">
      <c r="C68" s="7"/>
      <c r="D68" s="7"/>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3:62" ht="6.95" customHeight="1" x14ac:dyDescent="0.25">
      <c r="E69" s="67" t="s">
        <v>55</v>
      </c>
      <c r="F69" s="68"/>
      <c r="G69" s="68"/>
      <c r="H69" s="68"/>
      <c r="I69" s="68"/>
      <c r="J69" s="68"/>
      <c r="K69" s="68"/>
      <c r="L69" s="68"/>
      <c r="M69" s="68"/>
      <c r="N69" s="69"/>
      <c r="O69" s="65" t="s">
        <v>69</v>
      </c>
      <c r="P69" s="65"/>
      <c r="Q69" s="65"/>
      <c r="R69" s="65"/>
      <c r="S69" s="65"/>
      <c r="T69" s="65"/>
      <c r="U69" s="65"/>
      <c r="V69" s="65"/>
      <c r="W69" s="65"/>
      <c r="X69" s="65"/>
      <c r="Y69" s="65"/>
      <c r="Z69" s="65"/>
      <c r="AA69" s="65" t="s">
        <v>17</v>
      </c>
      <c r="AB69" s="65"/>
      <c r="AC69" s="65"/>
      <c r="AD69" s="65"/>
      <c r="AE69" s="65"/>
      <c r="AF69" s="65"/>
      <c r="AG69" s="65"/>
      <c r="AH69" s="65"/>
      <c r="AI69" s="65"/>
      <c r="AJ69" s="65"/>
      <c r="AK69" s="65"/>
      <c r="AL69" s="65"/>
      <c r="AM69" s="65" t="s">
        <v>16</v>
      </c>
      <c r="AN69" s="65"/>
      <c r="AO69" s="65"/>
      <c r="AP69" s="65"/>
      <c r="AQ69" s="65"/>
      <c r="AR69" s="65"/>
      <c r="AS69" s="65"/>
      <c r="AT69" s="65"/>
      <c r="AU69" s="65"/>
      <c r="AV69" s="65"/>
      <c r="AW69" s="65"/>
      <c r="AX69" s="65"/>
      <c r="AY69" s="65" t="s">
        <v>15</v>
      </c>
      <c r="AZ69" s="65"/>
      <c r="BA69" s="65"/>
      <c r="BB69" s="65"/>
      <c r="BC69" s="65"/>
      <c r="BD69" s="65"/>
      <c r="BE69" s="65"/>
      <c r="BF69" s="65"/>
      <c r="BG69" s="65"/>
      <c r="BH69" s="65"/>
      <c r="BI69" s="65"/>
      <c r="BJ69" s="65"/>
    </row>
    <row r="70" spans="3:62" ht="6.95" customHeight="1" x14ac:dyDescent="0.25">
      <c r="E70" s="70"/>
      <c r="F70" s="71"/>
      <c r="G70" s="71"/>
      <c r="H70" s="71"/>
      <c r="I70" s="71"/>
      <c r="J70" s="71"/>
      <c r="K70" s="71"/>
      <c r="L70" s="71"/>
      <c r="M70" s="71"/>
      <c r="N70" s="72"/>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row>
    <row r="71" spans="3:62" ht="6.95" customHeight="1" x14ac:dyDescent="0.25">
      <c r="E71" s="73" t="s">
        <v>61</v>
      </c>
      <c r="F71" s="74"/>
      <c r="G71" s="74"/>
      <c r="H71" s="74"/>
      <c r="I71" s="74"/>
      <c r="J71" s="74"/>
      <c r="K71" s="74"/>
      <c r="L71" s="74"/>
      <c r="M71" s="74"/>
      <c r="N71" s="75"/>
      <c r="O71" s="64" t="s">
        <v>67</v>
      </c>
      <c r="P71" s="64"/>
      <c r="Q71" s="64"/>
      <c r="R71" s="64"/>
      <c r="S71" s="64"/>
      <c r="T71" s="64"/>
      <c r="U71" s="64"/>
      <c r="V71" s="64"/>
      <c r="W71" s="64"/>
      <c r="X71" s="64"/>
      <c r="Y71" s="64"/>
      <c r="Z71" s="64"/>
      <c r="AA71" s="64" t="s">
        <v>70</v>
      </c>
      <c r="AB71" s="64"/>
      <c r="AC71" s="64"/>
      <c r="AD71" s="64"/>
      <c r="AE71" s="64"/>
      <c r="AF71" s="64"/>
      <c r="AG71" s="64"/>
      <c r="AH71" s="64"/>
      <c r="AI71" s="64"/>
      <c r="AJ71" s="64"/>
      <c r="AK71" s="64"/>
      <c r="AL71" s="64"/>
      <c r="AM71" s="63" t="str">
        <f>AJ58</f>
        <v/>
      </c>
      <c r="AN71" s="64"/>
      <c r="AO71" s="64"/>
      <c r="AP71" s="64"/>
      <c r="AQ71" s="64"/>
      <c r="AR71" s="64"/>
      <c r="AS71" s="64"/>
      <c r="AT71" s="64"/>
      <c r="AU71" s="64"/>
      <c r="AV71" s="64"/>
      <c r="AW71" s="64"/>
      <c r="AX71" s="64"/>
      <c r="AY71" s="85" t="str">
        <f>IFERROR(IF(AND(AM71&lt;=2,ABS(AM73)&lt;=0.5),"Pass","Fail"),"")</f>
        <v/>
      </c>
      <c r="AZ71" s="86"/>
      <c r="BA71" s="86"/>
      <c r="BB71" s="86"/>
      <c r="BC71" s="86"/>
      <c r="BD71" s="86"/>
      <c r="BE71" s="86"/>
      <c r="BF71" s="86"/>
      <c r="BG71" s="86"/>
      <c r="BH71" s="86"/>
      <c r="BI71" s="86"/>
      <c r="BJ71" s="87"/>
    </row>
    <row r="72" spans="3:62" ht="6.95" customHeight="1" x14ac:dyDescent="0.25">
      <c r="E72" s="76"/>
      <c r="F72" s="77"/>
      <c r="G72" s="77"/>
      <c r="H72" s="77"/>
      <c r="I72" s="77"/>
      <c r="J72" s="77"/>
      <c r="K72" s="77"/>
      <c r="L72" s="77"/>
      <c r="M72" s="77"/>
      <c r="N72" s="78"/>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88"/>
      <c r="AZ72" s="89"/>
      <c r="BA72" s="89"/>
      <c r="BB72" s="89"/>
      <c r="BC72" s="89"/>
      <c r="BD72" s="89"/>
      <c r="BE72" s="89"/>
      <c r="BF72" s="89"/>
      <c r="BG72" s="89"/>
      <c r="BH72" s="89"/>
      <c r="BI72" s="89"/>
      <c r="BJ72" s="90"/>
    </row>
    <row r="73" spans="3:62" ht="6.95" customHeight="1" x14ac:dyDescent="0.25">
      <c r="E73" s="76"/>
      <c r="F73" s="77"/>
      <c r="G73" s="77"/>
      <c r="H73" s="77"/>
      <c r="I73" s="77"/>
      <c r="J73" s="77"/>
      <c r="K73" s="77"/>
      <c r="L73" s="77"/>
      <c r="M73" s="77"/>
      <c r="N73" s="78"/>
      <c r="O73" s="64" t="s">
        <v>68</v>
      </c>
      <c r="P73" s="64"/>
      <c r="Q73" s="64"/>
      <c r="R73" s="64"/>
      <c r="S73" s="64"/>
      <c r="T73" s="64"/>
      <c r="U73" s="64"/>
      <c r="V73" s="64"/>
      <c r="W73" s="64"/>
      <c r="X73" s="64"/>
      <c r="Y73" s="64"/>
      <c r="Z73" s="64"/>
      <c r="AA73" s="64" t="s">
        <v>71</v>
      </c>
      <c r="AB73" s="64"/>
      <c r="AC73" s="64"/>
      <c r="AD73" s="64"/>
      <c r="AE73" s="64"/>
      <c r="AF73" s="64"/>
      <c r="AG73" s="64"/>
      <c r="AH73" s="64"/>
      <c r="AI73" s="64"/>
      <c r="AJ73" s="64"/>
      <c r="AK73" s="64"/>
      <c r="AL73" s="64"/>
      <c r="AM73" s="62" t="str">
        <f>BB58</f>
        <v/>
      </c>
      <c r="AN73" s="64"/>
      <c r="AO73" s="64"/>
      <c r="AP73" s="64"/>
      <c r="AQ73" s="64"/>
      <c r="AR73" s="64"/>
      <c r="AS73" s="64"/>
      <c r="AT73" s="64"/>
      <c r="AU73" s="64"/>
      <c r="AV73" s="64"/>
      <c r="AW73" s="64"/>
      <c r="AX73" s="64"/>
      <c r="AY73" s="88"/>
      <c r="AZ73" s="89"/>
      <c r="BA73" s="89"/>
      <c r="BB73" s="89"/>
      <c r="BC73" s="89"/>
      <c r="BD73" s="89"/>
      <c r="BE73" s="89"/>
      <c r="BF73" s="89"/>
      <c r="BG73" s="89"/>
      <c r="BH73" s="89"/>
      <c r="BI73" s="89"/>
      <c r="BJ73" s="90"/>
    </row>
    <row r="74" spans="3:62" ht="6.95" customHeight="1" x14ac:dyDescent="0.25">
      <c r="E74" s="79"/>
      <c r="F74" s="80"/>
      <c r="G74" s="80"/>
      <c r="H74" s="80"/>
      <c r="I74" s="80"/>
      <c r="J74" s="80"/>
      <c r="K74" s="80"/>
      <c r="L74" s="80"/>
      <c r="M74" s="80"/>
      <c r="N74" s="81"/>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91"/>
      <c r="AZ74" s="92"/>
      <c r="BA74" s="92"/>
      <c r="BB74" s="92"/>
      <c r="BC74" s="92"/>
      <c r="BD74" s="92"/>
      <c r="BE74" s="92"/>
      <c r="BF74" s="92"/>
      <c r="BG74" s="92"/>
      <c r="BH74" s="92"/>
      <c r="BI74" s="92"/>
      <c r="BJ74" s="93"/>
    </row>
    <row r="75" spans="3:62" ht="6.95" customHeight="1" x14ac:dyDescent="0.25">
      <c r="E75" s="73" t="s">
        <v>62</v>
      </c>
      <c r="F75" s="74"/>
      <c r="G75" s="74"/>
      <c r="H75" s="74"/>
      <c r="I75" s="74"/>
      <c r="J75" s="74"/>
      <c r="K75" s="74"/>
      <c r="L75" s="74"/>
      <c r="M75" s="74"/>
      <c r="N75" s="75"/>
      <c r="O75" s="64" t="s">
        <v>67</v>
      </c>
      <c r="P75" s="64"/>
      <c r="Q75" s="64"/>
      <c r="R75" s="64"/>
      <c r="S75" s="64"/>
      <c r="T75" s="64"/>
      <c r="U75" s="64"/>
      <c r="V75" s="64"/>
      <c r="W75" s="64"/>
      <c r="X75" s="64"/>
      <c r="Y75" s="64"/>
      <c r="Z75" s="64"/>
      <c r="AA75" s="64" t="str">
        <f>AA71</f>
        <v>≤ 2%</v>
      </c>
      <c r="AB75" s="64"/>
      <c r="AC75" s="64"/>
      <c r="AD75" s="64"/>
      <c r="AE75" s="64"/>
      <c r="AF75" s="64"/>
      <c r="AG75" s="64"/>
      <c r="AH75" s="64"/>
      <c r="AI75" s="64"/>
      <c r="AJ75" s="64"/>
      <c r="AK75" s="64"/>
      <c r="AL75" s="64"/>
      <c r="AM75" s="63" t="str">
        <f>AJ60</f>
        <v/>
      </c>
      <c r="AN75" s="64"/>
      <c r="AO75" s="64"/>
      <c r="AP75" s="64"/>
      <c r="AQ75" s="64"/>
      <c r="AR75" s="64"/>
      <c r="AS75" s="64"/>
      <c r="AT75" s="64"/>
      <c r="AU75" s="64"/>
      <c r="AV75" s="64"/>
      <c r="AW75" s="64"/>
      <c r="AX75" s="64"/>
      <c r="AY75" s="85" t="str">
        <f>IFERROR(IF(AND(AM75&lt;=2,ABS(AM77)&lt;=0.5),"Pass","Fail"),"")</f>
        <v/>
      </c>
      <c r="AZ75" s="86"/>
      <c r="BA75" s="86"/>
      <c r="BB75" s="86"/>
      <c r="BC75" s="86"/>
      <c r="BD75" s="86"/>
      <c r="BE75" s="86"/>
      <c r="BF75" s="86"/>
      <c r="BG75" s="86"/>
      <c r="BH75" s="86"/>
      <c r="BI75" s="86"/>
      <c r="BJ75" s="87"/>
    </row>
    <row r="76" spans="3:62" ht="6.95" customHeight="1" x14ac:dyDescent="0.25">
      <c r="E76" s="76"/>
      <c r="F76" s="77"/>
      <c r="G76" s="77"/>
      <c r="H76" s="77"/>
      <c r="I76" s="77"/>
      <c r="J76" s="77"/>
      <c r="K76" s="77"/>
      <c r="L76" s="77"/>
      <c r="M76" s="77"/>
      <c r="N76" s="78"/>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88"/>
      <c r="AZ76" s="89"/>
      <c r="BA76" s="89"/>
      <c r="BB76" s="89"/>
      <c r="BC76" s="89"/>
      <c r="BD76" s="89"/>
      <c r="BE76" s="89"/>
      <c r="BF76" s="89"/>
      <c r="BG76" s="89"/>
      <c r="BH76" s="89"/>
      <c r="BI76" s="89"/>
      <c r="BJ76" s="90"/>
    </row>
    <row r="77" spans="3:62" ht="6.95" customHeight="1" x14ac:dyDescent="0.25">
      <c r="E77" s="76"/>
      <c r="F77" s="77"/>
      <c r="G77" s="77"/>
      <c r="H77" s="77"/>
      <c r="I77" s="77"/>
      <c r="J77" s="77"/>
      <c r="K77" s="77"/>
      <c r="L77" s="77"/>
      <c r="M77" s="77"/>
      <c r="N77" s="78"/>
      <c r="O77" s="64" t="s">
        <v>68</v>
      </c>
      <c r="P77" s="64"/>
      <c r="Q77" s="64"/>
      <c r="R77" s="64"/>
      <c r="S77" s="64"/>
      <c r="T77" s="64"/>
      <c r="U77" s="64"/>
      <c r="V77" s="64"/>
      <c r="W77" s="64"/>
      <c r="X77" s="64"/>
      <c r="Y77" s="64"/>
      <c r="Z77" s="64"/>
      <c r="AA77" s="64" t="str">
        <f t="shared" ref="AA77" si="7">AA73</f>
        <v>±5%</v>
      </c>
      <c r="AB77" s="64"/>
      <c r="AC77" s="64"/>
      <c r="AD77" s="64"/>
      <c r="AE77" s="64"/>
      <c r="AF77" s="64"/>
      <c r="AG77" s="64"/>
      <c r="AH77" s="64"/>
      <c r="AI77" s="64"/>
      <c r="AJ77" s="64"/>
      <c r="AK77" s="64"/>
      <c r="AL77" s="64"/>
      <c r="AM77" s="62" t="str">
        <f>BB60</f>
        <v/>
      </c>
      <c r="AN77" s="64"/>
      <c r="AO77" s="64"/>
      <c r="AP77" s="64"/>
      <c r="AQ77" s="64"/>
      <c r="AR77" s="64"/>
      <c r="AS77" s="64"/>
      <c r="AT77" s="64"/>
      <c r="AU77" s="64"/>
      <c r="AV77" s="64"/>
      <c r="AW77" s="64"/>
      <c r="AX77" s="64"/>
      <c r="AY77" s="88"/>
      <c r="AZ77" s="89"/>
      <c r="BA77" s="89"/>
      <c r="BB77" s="89"/>
      <c r="BC77" s="89"/>
      <c r="BD77" s="89"/>
      <c r="BE77" s="89"/>
      <c r="BF77" s="89"/>
      <c r="BG77" s="89"/>
      <c r="BH77" s="89"/>
      <c r="BI77" s="89"/>
      <c r="BJ77" s="90"/>
    </row>
    <row r="78" spans="3:62" ht="6.95" customHeight="1" x14ac:dyDescent="0.25">
      <c r="E78" s="79"/>
      <c r="F78" s="80"/>
      <c r="G78" s="80"/>
      <c r="H78" s="80"/>
      <c r="I78" s="80"/>
      <c r="J78" s="80"/>
      <c r="K78" s="80"/>
      <c r="L78" s="80"/>
      <c r="M78" s="80"/>
      <c r="N78" s="81"/>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91"/>
      <c r="AZ78" s="92"/>
      <c r="BA78" s="92"/>
      <c r="BB78" s="92"/>
      <c r="BC78" s="92"/>
      <c r="BD78" s="92"/>
      <c r="BE78" s="92"/>
      <c r="BF78" s="92"/>
      <c r="BG78" s="92"/>
      <c r="BH78" s="92"/>
      <c r="BI78" s="92"/>
      <c r="BJ78" s="93"/>
    </row>
    <row r="79" spans="3:62" ht="6.95" customHeight="1" x14ac:dyDescent="0.25">
      <c r="E79" s="73" t="s">
        <v>63</v>
      </c>
      <c r="F79" s="74"/>
      <c r="G79" s="74"/>
      <c r="H79" s="74"/>
      <c r="I79" s="74"/>
      <c r="J79" s="74"/>
      <c r="K79" s="74"/>
      <c r="L79" s="74"/>
      <c r="M79" s="74"/>
      <c r="N79" s="75"/>
      <c r="O79" s="64" t="s">
        <v>67</v>
      </c>
      <c r="P79" s="64"/>
      <c r="Q79" s="64"/>
      <c r="R79" s="64"/>
      <c r="S79" s="64"/>
      <c r="T79" s="64"/>
      <c r="U79" s="64"/>
      <c r="V79" s="64"/>
      <c r="W79" s="64"/>
      <c r="X79" s="64"/>
      <c r="Y79" s="64"/>
      <c r="Z79" s="64"/>
      <c r="AA79" s="64" t="str">
        <f t="shared" ref="AA79" si="8">AA75</f>
        <v>≤ 2%</v>
      </c>
      <c r="AB79" s="64"/>
      <c r="AC79" s="64"/>
      <c r="AD79" s="64"/>
      <c r="AE79" s="64"/>
      <c r="AF79" s="64"/>
      <c r="AG79" s="64"/>
      <c r="AH79" s="64"/>
      <c r="AI79" s="64"/>
      <c r="AJ79" s="64"/>
      <c r="AK79" s="64"/>
      <c r="AL79" s="64"/>
      <c r="AM79" s="63" t="str">
        <f>AJ62</f>
        <v/>
      </c>
      <c r="AN79" s="64"/>
      <c r="AO79" s="64"/>
      <c r="AP79" s="64"/>
      <c r="AQ79" s="64"/>
      <c r="AR79" s="64"/>
      <c r="AS79" s="64"/>
      <c r="AT79" s="64"/>
      <c r="AU79" s="64"/>
      <c r="AV79" s="64"/>
      <c r="AW79" s="64"/>
      <c r="AX79" s="64"/>
      <c r="AY79" s="85" t="str">
        <f>IFERROR(IF(AND(AM79&lt;=2,ABS(AM81)&lt;=0.5),"Pass","Fail"),"")</f>
        <v/>
      </c>
      <c r="AZ79" s="86"/>
      <c r="BA79" s="86"/>
      <c r="BB79" s="86"/>
      <c r="BC79" s="86"/>
      <c r="BD79" s="86"/>
      <c r="BE79" s="86"/>
      <c r="BF79" s="86"/>
      <c r="BG79" s="86"/>
      <c r="BH79" s="86"/>
      <c r="BI79" s="86"/>
      <c r="BJ79" s="87"/>
    </row>
    <row r="80" spans="3:62" ht="6.95" customHeight="1" x14ac:dyDescent="0.25">
      <c r="E80" s="76"/>
      <c r="F80" s="77"/>
      <c r="G80" s="77"/>
      <c r="H80" s="77"/>
      <c r="I80" s="77"/>
      <c r="J80" s="77"/>
      <c r="K80" s="77"/>
      <c r="L80" s="77"/>
      <c r="M80" s="77"/>
      <c r="N80" s="78"/>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88"/>
      <c r="AZ80" s="89"/>
      <c r="BA80" s="89"/>
      <c r="BB80" s="89"/>
      <c r="BC80" s="89"/>
      <c r="BD80" s="89"/>
      <c r="BE80" s="89"/>
      <c r="BF80" s="89"/>
      <c r="BG80" s="89"/>
      <c r="BH80" s="89"/>
      <c r="BI80" s="89"/>
      <c r="BJ80" s="90"/>
    </row>
    <row r="81" spans="3:62" ht="6.95" customHeight="1" x14ac:dyDescent="0.25">
      <c r="E81" s="76"/>
      <c r="F81" s="77"/>
      <c r="G81" s="77"/>
      <c r="H81" s="77"/>
      <c r="I81" s="77"/>
      <c r="J81" s="77"/>
      <c r="K81" s="77"/>
      <c r="L81" s="77"/>
      <c r="M81" s="77"/>
      <c r="N81" s="78"/>
      <c r="O81" s="64" t="s">
        <v>68</v>
      </c>
      <c r="P81" s="64"/>
      <c r="Q81" s="64"/>
      <c r="R81" s="64"/>
      <c r="S81" s="64"/>
      <c r="T81" s="64"/>
      <c r="U81" s="64"/>
      <c r="V81" s="64"/>
      <c r="W81" s="64"/>
      <c r="X81" s="64"/>
      <c r="Y81" s="64"/>
      <c r="Z81" s="64"/>
      <c r="AA81" s="64" t="str">
        <f t="shared" ref="AA81" si="9">AA77</f>
        <v>±5%</v>
      </c>
      <c r="AB81" s="64"/>
      <c r="AC81" s="64"/>
      <c r="AD81" s="64"/>
      <c r="AE81" s="64"/>
      <c r="AF81" s="64"/>
      <c r="AG81" s="64"/>
      <c r="AH81" s="64"/>
      <c r="AI81" s="64"/>
      <c r="AJ81" s="64"/>
      <c r="AK81" s="64"/>
      <c r="AL81" s="64"/>
      <c r="AM81" s="62" t="str">
        <f>BB62</f>
        <v/>
      </c>
      <c r="AN81" s="64"/>
      <c r="AO81" s="64"/>
      <c r="AP81" s="64"/>
      <c r="AQ81" s="64"/>
      <c r="AR81" s="64"/>
      <c r="AS81" s="64"/>
      <c r="AT81" s="64"/>
      <c r="AU81" s="64"/>
      <c r="AV81" s="64"/>
      <c r="AW81" s="64"/>
      <c r="AX81" s="64"/>
      <c r="AY81" s="88"/>
      <c r="AZ81" s="89"/>
      <c r="BA81" s="89"/>
      <c r="BB81" s="89"/>
      <c r="BC81" s="89"/>
      <c r="BD81" s="89"/>
      <c r="BE81" s="89"/>
      <c r="BF81" s="89"/>
      <c r="BG81" s="89"/>
      <c r="BH81" s="89"/>
      <c r="BI81" s="89"/>
      <c r="BJ81" s="90"/>
    </row>
    <row r="82" spans="3:62" ht="6.95" customHeight="1" x14ac:dyDescent="0.25">
      <c r="E82" s="79"/>
      <c r="F82" s="80"/>
      <c r="G82" s="80"/>
      <c r="H82" s="80"/>
      <c r="I82" s="80"/>
      <c r="J82" s="80"/>
      <c r="K82" s="80"/>
      <c r="L82" s="80"/>
      <c r="M82" s="80"/>
      <c r="N82" s="81"/>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91"/>
      <c r="AZ82" s="92"/>
      <c r="BA82" s="92"/>
      <c r="BB82" s="92"/>
      <c r="BC82" s="92"/>
      <c r="BD82" s="92"/>
      <c r="BE82" s="92"/>
      <c r="BF82" s="92"/>
      <c r="BG82" s="92"/>
      <c r="BH82" s="92"/>
      <c r="BI82" s="92"/>
      <c r="BJ82" s="93"/>
    </row>
    <row r="83" spans="3:62" ht="6.95" customHeight="1" x14ac:dyDescent="0.25">
      <c r="E83" s="73" t="s">
        <v>66</v>
      </c>
      <c r="F83" s="74"/>
      <c r="G83" s="74"/>
      <c r="H83" s="74"/>
      <c r="I83" s="74"/>
      <c r="J83" s="74"/>
      <c r="K83" s="74"/>
      <c r="L83" s="74"/>
      <c r="M83" s="74"/>
      <c r="N83" s="75"/>
      <c r="O83" s="64" t="s">
        <v>67</v>
      </c>
      <c r="P83" s="64"/>
      <c r="Q83" s="64"/>
      <c r="R83" s="64"/>
      <c r="S83" s="64"/>
      <c r="T83" s="64"/>
      <c r="U83" s="64"/>
      <c r="V83" s="64"/>
      <c r="W83" s="64"/>
      <c r="X83" s="64"/>
      <c r="Y83" s="64"/>
      <c r="Z83" s="64"/>
      <c r="AA83" s="64" t="str">
        <f t="shared" ref="AA83" si="10">AA79</f>
        <v>≤ 2%</v>
      </c>
      <c r="AB83" s="64"/>
      <c r="AC83" s="64"/>
      <c r="AD83" s="64"/>
      <c r="AE83" s="64"/>
      <c r="AF83" s="64"/>
      <c r="AG83" s="64"/>
      <c r="AH83" s="64"/>
      <c r="AI83" s="64"/>
      <c r="AJ83" s="64"/>
      <c r="AK83" s="64"/>
      <c r="AL83" s="64"/>
      <c r="AM83" s="63" t="str">
        <f>AJ64</f>
        <v/>
      </c>
      <c r="AN83" s="64"/>
      <c r="AO83" s="64"/>
      <c r="AP83" s="64"/>
      <c r="AQ83" s="64"/>
      <c r="AR83" s="64"/>
      <c r="AS83" s="64"/>
      <c r="AT83" s="64"/>
      <c r="AU83" s="64"/>
      <c r="AV83" s="64"/>
      <c r="AW83" s="64"/>
      <c r="AX83" s="64"/>
      <c r="AY83" s="84" t="str">
        <f>IF(AM83="","",IF(AM83&lt;=2,"Pass","Fail"))</f>
        <v/>
      </c>
      <c r="AZ83" s="84"/>
      <c r="BA83" s="84"/>
      <c r="BB83" s="84"/>
      <c r="BC83" s="84"/>
      <c r="BD83" s="84"/>
      <c r="BE83" s="84"/>
      <c r="BF83" s="84"/>
      <c r="BG83" s="84"/>
      <c r="BH83" s="84"/>
      <c r="BI83" s="84"/>
      <c r="BJ83" s="84"/>
    </row>
    <row r="84" spans="3:62" ht="6.95" customHeight="1" x14ac:dyDescent="0.25">
      <c r="E84" s="76"/>
      <c r="F84" s="77"/>
      <c r="G84" s="77"/>
      <c r="H84" s="77"/>
      <c r="I84" s="77"/>
      <c r="J84" s="77"/>
      <c r="K84" s="77"/>
      <c r="L84" s="77"/>
      <c r="M84" s="77"/>
      <c r="N84" s="78"/>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84"/>
      <c r="AZ84" s="84"/>
      <c r="BA84" s="84"/>
      <c r="BB84" s="84"/>
      <c r="BC84" s="84"/>
      <c r="BD84" s="84"/>
      <c r="BE84" s="84"/>
      <c r="BF84" s="84"/>
      <c r="BG84" s="84"/>
      <c r="BH84" s="84"/>
      <c r="BI84" s="84"/>
      <c r="BJ84" s="84"/>
    </row>
    <row r="85" spans="3:62" ht="6.95" customHeight="1" x14ac:dyDescent="0.25">
      <c r="E85" s="82" t="s">
        <v>72</v>
      </c>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row>
    <row r="86" spans="3:62" ht="6.95" customHeight="1" x14ac:dyDescent="0.25">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row>
    <row r="87" spans="3:62" ht="6.95" customHeight="1" x14ac:dyDescent="0.25"/>
    <row r="88" spans="3:62" ht="6.95" customHeight="1" x14ac:dyDescent="0.25">
      <c r="C88" s="7" t="str">
        <f>"5."</f>
        <v>5.</v>
      </c>
      <c r="D88" s="7"/>
      <c r="E88" s="8" t="s">
        <v>12</v>
      </c>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3:62" ht="6.95" customHeight="1" x14ac:dyDescent="0.25">
      <c r="C89" s="7"/>
      <c r="D89" s="7"/>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3:62" ht="6.95" customHeight="1" x14ac:dyDescent="0.25">
      <c r="E90" s="9" t="str">
        <f>IF(AND(LOWER(AY71)="pass",LOWER(AY75)="pass",LOWER(AY79)="pass",LOWER(AY83)="pass"),
"Based on the evaluation of precision and accuracy, the method for Proximate Analysis of Coal is verified and found suitable for routine testing in this laboratory.",
"Method verification failed due to unacceptable repeatability. Corrective action to be initiated.")</f>
        <v>Method verification failed due to unacceptable repeatability. Corrective action to be initiated.</v>
      </c>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3:62" ht="6.95" customHeight="1" x14ac:dyDescent="0.25">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3:62" ht="6.95" customHeight="1" x14ac:dyDescent="0.25">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3:62" ht="6.95" customHeight="1" x14ac:dyDescent="0.25">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3:62" ht="6.95" customHeight="1" x14ac:dyDescent="0.25"/>
    <row r="95" spans="3:62" ht="6.95" customHeight="1" x14ac:dyDescent="0.25">
      <c r="C95" s="7" t="str">
        <f>"6."</f>
        <v>6.</v>
      </c>
      <c r="D95" s="7"/>
      <c r="E95" s="8" t="s">
        <v>11</v>
      </c>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3:62" ht="6.95" customHeight="1" x14ac:dyDescent="0.25">
      <c r="C96" s="7"/>
      <c r="D96" s="7"/>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3" ht="6.95" customHeight="1" x14ac:dyDescent="0.25">
      <c r="E97" s="5" t="s">
        <v>10</v>
      </c>
      <c r="F97" s="5"/>
      <c r="G97" s="5"/>
      <c r="H97" s="5"/>
      <c r="I97" s="5"/>
      <c r="J97" s="5"/>
      <c r="K97" s="5"/>
      <c r="L97" s="6" t="s">
        <v>2</v>
      </c>
      <c r="M97" s="8" t="s">
        <v>9</v>
      </c>
      <c r="N97" s="8"/>
      <c r="O97" s="8"/>
      <c r="P97" s="8"/>
      <c r="Q97" s="8"/>
      <c r="R97" s="8"/>
      <c r="S97" s="8"/>
      <c r="T97" s="8"/>
      <c r="U97" s="8"/>
      <c r="V97" s="8"/>
      <c r="W97" s="8"/>
      <c r="X97" s="8"/>
      <c r="Y97" s="8"/>
      <c r="Z97" s="8"/>
      <c r="AA97" s="8"/>
      <c r="AB97" s="8"/>
      <c r="AC97" s="8"/>
      <c r="AD97" s="8"/>
      <c r="AE97" s="8"/>
      <c r="AF97" s="8"/>
      <c r="AG97" s="8"/>
      <c r="AH97" s="5" t="s">
        <v>6</v>
      </c>
      <c r="AI97" s="5"/>
      <c r="AJ97" s="5"/>
      <c r="AK97" s="5"/>
      <c r="AL97" s="5"/>
      <c r="AM97" s="5"/>
      <c r="AN97" s="5"/>
      <c r="AO97" s="6" t="s">
        <v>2</v>
      </c>
      <c r="AP97" s="8" t="s">
        <v>8</v>
      </c>
      <c r="AQ97" s="8"/>
      <c r="AR97" s="8"/>
      <c r="AS97" s="8"/>
      <c r="AT97" s="8"/>
      <c r="AU97" s="8"/>
      <c r="AV97" s="8"/>
      <c r="AW97" s="8"/>
      <c r="AX97" s="8"/>
      <c r="AY97" s="8"/>
      <c r="AZ97" s="8"/>
      <c r="BA97" s="8"/>
      <c r="BB97" s="8"/>
      <c r="BC97" s="8"/>
      <c r="BD97" s="8"/>
      <c r="BE97" s="8"/>
      <c r="BF97" s="8"/>
      <c r="BG97" s="8"/>
      <c r="BH97" s="8"/>
      <c r="BI97" s="8"/>
      <c r="BJ97" s="8"/>
    </row>
    <row r="98" spans="1:63" ht="6.95" customHeight="1" x14ac:dyDescent="0.25">
      <c r="E98" s="5"/>
      <c r="F98" s="5"/>
      <c r="G98" s="5"/>
      <c r="H98" s="5"/>
      <c r="I98" s="5"/>
      <c r="J98" s="5"/>
      <c r="K98" s="5"/>
      <c r="L98" s="6"/>
      <c r="M98" s="8"/>
      <c r="N98" s="8"/>
      <c r="O98" s="8"/>
      <c r="P98" s="8"/>
      <c r="Q98" s="8"/>
      <c r="R98" s="8"/>
      <c r="S98" s="8"/>
      <c r="T98" s="8"/>
      <c r="U98" s="8"/>
      <c r="V98" s="8"/>
      <c r="W98" s="8"/>
      <c r="X98" s="8"/>
      <c r="Y98" s="8"/>
      <c r="Z98" s="8"/>
      <c r="AA98" s="8"/>
      <c r="AB98" s="8"/>
      <c r="AC98" s="8"/>
      <c r="AD98" s="8"/>
      <c r="AE98" s="8"/>
      <c r="AF98" s="8"/>
      <c r="AG98" s="8"/>
      <c r="AH98" s="5"/>
      <c r="AI98" s="5"/>
      <c r="AJ98" s="5"/>
      <c r="AK98" s="5"/>
      <c r="AL98" s="5"/>
      <c r="AM98" s="5"/>
      <c r="AN98" s="5"/>
      <c r="AO98" s="6"/>
      <c r="AP98" s="8"/>
      <c r="AQ98" s="8"/>
      <c r="AR98" s="8"/>
      <c r="AS98" s="8"/>
      <c r="AT98" s="8"/>
      <c r="AU98" s="8"/>
      <c r="AV98" s="8"/>
      <c r="AW98" s="8"/>
      <c r="AX98" s="8"/>
      <c r="AY98" s="8"/>
      <c r="AZ98" s="8"/>
      <c r="BA98" s="8"/>
      <c r="BB98" s="8"/>
      <c r="BC98" s="8"/>
      <c r="BD98" s="8"/>
      <c r="BE98" s="8"/>
      <c r="BF98" s="8"/>
      <c r="BG98" s="8"/>
      <c r="BH98" s="8"/>
      <c r="BI98" s="8"/>
      <c r="BJ98" s="8"/>
    </row>
    <row r="99" spans="1:63" ht="6.95" customHeight="1" x14ac:dyDescent="0.25">
      <c r="E99" s="5" t="s">
        <v>3</v>
      </c>
      <c r="F99" s="5"/>
      <c r="G99" s="5"/>
      <c r="H99" s="5"/>
      <c r="I99" s="5"/>
      <c r="J99" s="5"/>
      <c r="K99" s="5"/>
      <c r="L99" s="6" t="s">
        <v>2</v>
      </c>
      <c r="AH99" s="5" t="s">
        <v>3</v>
      </c>
      <c r="AI99" s="5"/>
      <c r="AJ99" s="5"/>
      <c r="AK99" s="5"/>
      <c r="AL99" s="5"/>
      <c r="AM99" s="5"/>
      <c r="AN99" s="5"/>
      <c r="AO99" s="6" t="s">
        <v>2</v>
      </c>
    </row>
    <row r="100" spans="1:63" ht="6.95" customHeight="1" x14ac:dyDescent="0.25">
      <c r="E100" s="5"/>
      <c r="F100" s="5"/>
      <c r="G100" s="5"/>
      <c r="H100" s="5"/>
      <c r="I100" s="5"/>
      <c r="J100" s="5"/>
      <c r="K100" s="5"/>
      <c r="L100" s="6"/>
      <c r="AH100" s="5"/>
      <c r="AI100" s="5"/>
      <c r="AJ100" s="5"/>
      <c r="AK100" s="5"/>
      <c r="AL100" s="5"/>
      <c r="AM100" s="5"/>
      <c r="AN100" s="5"/>
      <c r="AO100" s="6"/>
    </row>
    <row r="101" spans="1:63" ht="6.95" customHeight="1" x14ac:dyDescent="0.25">
      <c r="E101" s="3"/>
      <c r="F101" s="3"/>
      <c r="G101" s="3"/>
      <c r="H101" s="3"/>
      <c r="I101" s="3"/>
      <c r="J101" s="3"/>
      <c r="K101" s="3"/>
      <c r="L101" s="4"/>
      <c r="AH101" s="3"/>
      <c r="AI101" s="3"/>
      <c r="AJ101" s="3"/>
      <c r="AK101" s="3"/>
      <c r="AL101" s="3"/>
      <c r="AM101" s="3"/>
      <c r="AN101" s="3"/>
      <c r="AO101" s="4"/>
    </row>
    <row r="102" spans="1:63" ht="6.95" customHeight="1" x14ac:dyDescent="0.25">
      <c r="E102" s="66"/>
      <c r="F102" s="66"/>
      <c r="G102" s="66"/>
      <c r="H102" s="66"/>
      <c r="I102" s="66"/>
      <c r="J102" s="66"/>
      <c r="K102" s="66"/>
      <c r="AH102" s="66"/>
      <c r="AI102" s="66"/>
      <c r="AJ102" s="66"/>
      <c r="AK102" s="66"/>
      <c r="AL102" s="66"/>
      <c r="AM102" s="66"/>
      <c r="AN102" s="66"/>
    </row>
    <row r="103" spans="1:63" ht="6.95" customHeight="1" x14ac:dyDescent="0.25">
      <c r="E103" s="5" t="s">
        <v>7</v>
      </c>
      <c r="F103" s="5"/>
      <c r="G103" s="5"/>
      <c r="H103" s="5"/>
      <c r="I103" s="5"/>
      <c r="J103" s="5"/>
      <c r="K103" s="5"/>
      <c r="L103" s="6" t="s">
        <v>2</v>
      </c>
      <c r="M103" s="10">
        <f ca="1">TODAY()</f>
        <v>46070</v>
      </c>
      <c r="N103" s="10"/>
      <c r="O103" s="10"/>
      <c r="P103" s="10"/>
      <c r="Q103" s="10"/>
      <c r="R103" s="10"/>
      <c r="S103" s="10"/>
      <c r="T103" s="10"/>
      <c r="U103" s="10"/>
      <c r="V103" s="10"/>
      <c r="W103" s="10"/>
      <c r="X103" s="10"/>
      <c r="Y103" s="10"/>
      <c r="Z103" s="10"/>
      <c r="AA103" s="10"/>
      <c r="AB103" s="10"/>
      <c r="AC103" s="10"/>
      <c r="AD103" s="10"/>
      <c r="AE103" s="10"/>
      <c r="AF103" s="10"/>
      <c r="AG103" s="10"/>
      <c r="AH103" s="5" t="s">
        <v>6</v>
      </c>
      <c r="AI103" s="5"/>
      <c r="AJ103" s="5"/>
      <c r="AK103" s="5"/>
      <c r="AL103" s="5"/>
      <c r="AM103" s="5"/>
      <c r="AN103" s="5"/>
      <c r="AO103" s="6" t="s">
        <v>2</v>
      </c>
      <c r="AP103" s="8" t="s">
        <v>5</v>
      </c>
      <c r="AQ103" s="8"/>
      <c r="AR103" s="8"/>
      <c r="AS103" s="8"/>
      <c r="AT103" s="8"/>
      <c r="AU103" s="8"/>
      <c r="AV103" s="8"/>
      <c r="AW103" s="8"/>
      <c r="AX103" s="8"/>
      <c r="AY103" s="8"/>
      <c r="AZ103" s="8"/>
      <c r="BA103" s="8"/>
      <c r="BB103" s="8"/>
      <c r="BC103" s="8"/>
      <c r="BD103" s="8"/>
      <c r="BE103" s="8"/>
      <c r="BF103" s="8"/>
      <c r="BG103" s="8"/>
      <c r="BH103" s="8"/>
      <c r="BI103" s="8"/>
      <c r="BJ103" s="8"/>
    </row>
    <row r="104" spans="1:63" ht="6.95" customHeight="1" x14ac:dyDescent="0.25">
      <c r="E104" s="5"/>
      <c r="F104" s="5"/>
      <c r="G104" s="5"/>
      <c r="H104" s="5"/>
      <c r="I104" s="5"/>
      <c r="J104" s="5"/>
      <c r="K104" s="5"/>
      <c r="L104" s="6"/>
      <c r="M104" s="10"/>
      <c r="N104" s="10"/>
      <c r="O104" s="10"/>
      <c r="P104" s="10"/>
      <c r="Q104" s="10"/>
      <c r="R104" s="10"/>
      <c r="S104" s="10"/>
      <c r="T104" s="10"/>
      <c r="U104" s="10"/>
      <c r="V104" s="10"/>
      <c r="W104" s="10"/>
      <c r="X104" s="10"/>
      <c r="Y104" s="10"/>
      <c r="Z104" s="10"/>
      <c r="AA104" s="10"/>
      <c r="AB104" s="10"/>
      <c r="AC104" s="10"/>
      <c r="AD104" s="10"/>
      <c r="AE104" s="10"/>
      <c r="AF104" s="10"/>
      <c r="AG104" s="10"/>
      <c r="AH104" s="5"/>
      <c r="AI104" s="5"/>
      <c r="AJ104" s="5"/>
      <c r="AK104" s="5"/>
      <c r="AL104" s="5"/>
      <c r="AM104" s="5"/>
      <c r="AN104" s="5"/>
      <c r="AO104" s="6"/>
      <c r="AP104" s="8"/>
      <c r="AQ104" s="8"/>
      <c r="AR104" s="8"/>
      <c r="AS104" s="8"/>
      <c r="AT104" s="8"/>
      <c r="AU104" s="8"/>
      <c r="AV104" s="8"/>
      <c r="AW104" s="8"/>
      <c r="AX104" s="8"/>
      <c r="AY104" s="8"/>
      <c r="AZ104" s="8"/>
      <c r="BA104" s="8"/>
      <c r="BB104" s="8"/>
      <c r="BC104" s="8"/>
      <c r="BD104" s="8"/>
      <c r="BE104" s="8"/>
      <c r="BF104" s="8"/>
      <c r="BG104" s="8"/>
      <c r="BH104" s="8"/>
      <c r="BI104" s="8"/>
      <c r="BJ104" s="8"/>
    </row>
    <row r="105" spans="1:63" ht="6.95" customHeight="1" x14ac:dyDescent="0.25">
      <c r="E105" s="5" t="s">
        <v>4</v>
      </c>
      <c r="F105" s="5"/>
      <c r="G105" s="5"/>
      <c r="H105" s="5"/>
      <c r="I105" s="5"/>
      <c r="J105" s="5"/>
      <c r="K105" s="5"/>
      <c r="L105" s="6" t="s">
        <v>2</v>
      </c>
      <c r="AH105" s="5" t="s">
        <v>3</v>
      </c>
      <c r="AI105" s="5"/>
      <c r="AJ105" s="5"/>
      <c r="AK105" s="5"/>
      <c r="AL105" s="5"/>
      <c r="AM105" s="5"/>
      <c r="AN105" s="5"/>
      <c r="AO105" s="6" t="s">
        <v>2</v>
      </c>
    </row>
    <row r="106" spans="1:63" ht="6.95" customHeight="1" x14ac:dyDescent="0.25">
      <c r="E106" s="5"/>
      <c r="F106" s="5"/>
      <c r="G106" s="5"/>
      <c r="H106" s="5"/>
      <c r="I106" s="5"/>
      <c r="J106" s="5"/>
      <c r="K106" s="5"/>
      <c r="L106" s="6"/>
      <c r="AH106" s="5"/>
      <c r="AI106" s="5"/>
      <c r="AJ106" s="5"/>
      <c r="AK106" s="5"/>
      <c r="AL106" s="5"/>
      <c r="AM106" s="5"/>
      <c r="AN106" s="5"/>
      <c r="AO106" s="6"/>
    </row>
    <row r="107" spans="1:63" ht="6.95" customHeight="1" x14ac:dyDescent="0.25">
      <c r="E107" s="3"/>
      <c r="F107" s="3"/>
      <c r="G107" s="3"/>
      <c r="H107" s="3"/>
      <c r="I107" s="3"/>
      <c r="J107" s="3"/>
      <c r="K107" s="3"/>
      <c r="L107" s="4"/>
      <c r="AH107" s="3"/>
      <c r="AI107" s="3"/>
      <c r="AJ107" s="3"/>
      <c r="AK107" s="3"/>
      <c r="AL107" s="3"/>
      <c r="AM107" s="3"/>
      <c r="AN107" s="3"/>
      <c r="AO107" s="4"/>
    </row>
    <row r="108" spans="1:63" ht="6.95" customHeight="1" x14ac:dyDescent="0.25">
      <c r="E108" s="66"/>
      <c r="F108" s="66"/>
      <c r="G108" s="66"/>
      <c r="H108" s="66"/>
      <c r="I108" s="66"/>
      <c r="J108" s="66"/>
      <c r="K108" s="66"/>
      <c r="AH108" s="66"/>
      <c r="AI108" s="66"/>
      <c r="AJ108" s="66"/>
      <c r="AK108" s="66"/>
      <c r="AL108" s="66"/>
      <c r="AM108" s="66"/>
      <c r="AN108" s="66"/>
    </row>
    <row r="109" spans="1:63" ht="6.95" customHeight="1" x14ac:dyDescent="0.25">
      <c r="A109" s="56" t="s">
        <v>1</v>
      </c>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2"/>
      <c r="AF109" s="2"/>
      <c r="AG109" s="2"/>
      <c r="AH109" s="58" t="s">
        <v>0</v>
      </c>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row>
    <row r="110" spans="1:63" ht="6.95" customHeight="1" x14ac:dyDescent="0.25">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row>
  </sheetData>
  <mergeCells count="158">
    <mergeCell ref="O81:Z82"/>
    <mergeCell ref="AA81:AL82"/>
    <mergeCell ref="O83:Z84"/>
    <mergeCell ref="AA83:AL84"/>
    <mergeCell ref="E85:BJ86"/>
    <mergeCell ref="AY71:BJ74"/>
    <mergeCell ref="AY75:BJ78"/>
    <mergeCell ref="AY79:BJ82"/>
    <mergeCell ref="AM73:AX74"/>
    <mergeCell ref="E69:N70"/>
    <mergeCell ref="E71:N74"/>
    <mergeCell ref="E75:N78"/>
    <mergeCell ref="E79:N82"/>
    <mergeCell ref="O69:Z70"/>
    <mergeCell ref="AA69:AL70"/>
    <mergeCell ref="O71:Z72"/>
    <mergeCell ref="AA71:AL72"/>
    <mergeCell ref="O73:Z74"/>
    <mergeCell ref="AA73:AL74"/>
    <mergeCell ref="O75:Z76"/>
    <mergeCell ref="AA75:AL76"/>
    <mergeCell ref="O77:Z78"/>
    <mergeCell ref="AA77:AL78"/>
    <mergeCell ref="O79:Z80"/>
    <mergeCell ref="AA79:AL80"/>
    <mergeCell ref="AM69:AX70"/>
    <mergeCell ref="AY69:BJ70"/>
    <mergeCell ref="AM71:AX72"/>
    <mergeCell ref="AM83:AX84"/>
    <mergeCell ref="AY83:BJ84"/>
    <mergeCell ref="E83:N84"/>
    <mergeCell ref="AM77:AX78"/>
    <mergeCell ref="AM81:AX82"/>
    <mergeCell ref="E105:K106"/>
    <mergeCell ref="L105:L106"/>
    <mergeCell ref="AH105:AN106"/>
    <mergeCell ref="AO105:AO106"/>
    <mergeCell ref="A109:AD110"/>
    <mergeCell ref="AH109:BK110"/>
    <mergeCell ref="E103:K104"/>
    <mergeCell ref="L103:L104"/>
    <mergeCell ref="M103:AG104"/>
    <mergeCell ref="AH103:AN104"/>
    <mergeCell ref="AO103:AO104"/>
    <mergeCell ref="AP103:BJ104"/>
    <mergeCell ref="E99:K100"/>
    <mergeCell ref="L99:L100"/>
    <mergeCell ref="AH99:AN100"/>
    <mergeCell ref="AO99:AO100"/>
    <mergeCell ref="E90:BJ93"/>
    <mergeCell ref="C95:D96"/>
    <mergeCell ref="E95:BJ96"/>
    <mergeCell ref="E97:K98"/>
    <mergeCell ref="L97:L98"/>
    <mergeCell ref="M97:AG98"/>
    <mergeCell ref="AH97:AN98"/>
    <mergeCell ref="AO97:AO98"/>
    <mergeCell ref="AP97:BJ98"/>
    <mergeCell ref="C88:D89"/>
    <mergeCell ref="E88:BJ89"/>
    <mergeCell ref="AM79:AX80"/>
    <mergeCell ref="AM75:AX76"/>
    <mergeCell ref="C67:D68"/>
    <mergeCell ref="E67:BJ68"/>
    <mergeCell ref="E49:J50"/>
    <mergeCell ref="E51:J52"/>
    <mergeCell ref="K49:W50"/>
    <mergeCell ref="X49:AJ50"/>
    <mergeCell ref="AK49:AW50"/>
    <mergeCell ref="AX49:BJ50"/>
    <mergeCell ref="K51:W52"/>
    <mergeCell ref="X51:AJ52"/>
    <mergeCell ref="AK51:AW52"/>
    <mergeCell ref="AX51:BJ52"/>
    <mergeCell ref="E41:J42"/>
    <mergeCell ref="S24:BJ25"/>
    <mergeCell ref="E30:Q31"/>
    <mergeCell ref="R30:R31"/>
    <mergeCell ref="S30:BJ31"/>
    <mergeCell ref="AX39:BJ40"/>
    <mergeCell ref="K39:W40"/>
    <mergeCell ref="X39:AJ40"/>
    <mergeCell ref="AK39:AW40"/>
    <mergeCell ref="E39:J40"/>
    <mergeCell ref="K41:W42"/>
    <mergeCell ref="X41:AJ42"/>
    <mergeCell ref="AK41:AW42"/>
    <mergeCell ref="AX41:BJ42"/>
    <mergeCell ref="C37:D38"/>
    <mergeCell ref="E37:BJ38"/>
    <mergeCell ref="S26:BJ27"/>
    <mergeCell ref="S28:BJ29"/>
    <mergeCell ref="S32:BJ33"/>
    <mergeCell ref="S34:BJ35"/>
    <mergeCell ref="E20:Q21"/>
    <mergeCell ref="R20:R21"/>
    <mergeCell ref="S20:BJ21"/>
    <mergeCell ref="E22:Q23"/>
    <mergeCell ref="R22:R23"/>
    <mergeCell ref="S22:BJ23"/>
    <mergeCell ref="E16:Q17"/>
    <mergeCell ref="R16:R17"/>
    <mergeCell ref="S16:BJ17"/>
    <mergeCell ref="E18:Q19"/>
    <mergeCell ref="R18:R19"/>
    <mergeCell ref="S18:BJ19"/>
    <mergeCell ref="A1:BK5"/>
    <mergeCell ref="C7:D8"/>
    <mergeCell ref="E7:BJ8"/>
    <mergeCell ref="E9:BJ12"/>
    <mergeCell ref="C14:D15"/>
    <mergeCell ref="E14:BJ15"/>
    <mergeCell ref="E54:BJ55"/>
    <mergeCell ref="BB56:BJ57"/>
    <mergeCell ref="R56:Z57"/>
    <mergeCell ref="AA56:AI57"/>
    <mergeCell ref="AJ56:AR57"/>
    <mergeCell ref="AS56:BA57"/>
    <mergeCell ref="E56:Q57"/>
    <mergeCell ref="AK43:AW44"/>
    <mergeCell ref="AX43:BJ44"/>
    <mergeCell ref="K45:W46"/>
    <mergeCell ref="X45:AJ46"/>
    <mergeCell ref="AK45:AW46"/>
    <mergeCell ref="AX45:BJ46"/>
    <mergeCell ref="K47:W48"/>
    <mergeCell ref="X47:AJ48"/>
    <mergeCell ref="AK47:AW48"/>
    <mergeCell ref="AX47:BJ48"/>
    <mergeCell ref="E47:J48"/>
    <mergeCell ref="E43:J44"/>
    <mergeCell ref="E45:J46"/>
    <mergeCell ref="K43:W44"/>
    <mergeCell ref="X43:AJ44"/>
    <mergeCell ref="E58:Q59"/>
    <mergeCell ref="R58:Z59"/>
    <mergeCell ref="AA58:AI59"/>
    <mergeCell ref="AJ58:AR59"/>
    <mergeCell ref="AS58:BA59"/>
    <mergeCell ref="BB58:BJ59"/>
    <mergeCell ref="E60:Q61"/>
    <mergeCell ref="R60:Z61"/>
    <mergeCell ref="AA60:AI61"/>
    <mergeCell ref="AJ60:AR61"/>
    <mergeCell ref="AS60:BA61"/>
    <mergeCell ref="BB60:BJ61"/>
    <mergeCell ref="E62:Q63"/>
    <mergeCell ref="R62:Z63"/>
    <mergeCell ref="AA62:AI63"/>
    <mergeCell ref="AJ62:AR63"/>
    <mergeCell ref="AS62:BA63"/>
    <mergeCell ref="BB62:BJ63"/>
    <mergeCell ref="E64:Q65"/>
    <mergeCell ref="R64:Z65"/>
    <mergeCell ref="AA64:AI65"/>
    <mergeCell ref="AJ64:AR65"/>
    <mergeCell ref="AS64:BA65"/>
    <mergeCell ref="BB64:BJ65"/>
  </mergeCells>
  <phoneticPr fontId="5" type="noConversion"/>
  <printOptions horizontalCentered="1"/>
  <pageMargins left="0.59055118110236227" right="0.59055118110236227" top="0.55118110236220474" bottom="0.47244094488188981"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GCV</vt:lpstr>
      <vt:lpstr>Proximate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Ikram</dc:creator>
  <cp:lastModifiedBy>Ikram</cp:lastModifiedBy>
  <cp:lastPrinted>2026-02-17T03:07:03Z</cp:lastPrinted>
  <dcterms:created xsi:type="dcterms:W3CDTF">2026-02-16T06:52:22Z</dcterms:created>
  <dcterms:modified xsi:type="dcterms:W3CDTF">2026-02-17T03:07:27Z</dcterms:modified>
</cp:coreProperties>
</file>